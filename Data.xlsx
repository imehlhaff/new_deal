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/>
  <mc:AlternateContent xmlns:mc="http://schemas.openxmlformats.org/markup-compatibility/2006">
    <mc:Choice Requires="x15">
      <x15ac:absPath xmlns:x15ac="http://schemas.microsoft.com/office/spreadsheetml/2010/11/ac" url="/Users/IsaacMehlhaff/Desktop/Undergraduate/Welton/Data/"/>
    </mc:Choice>
  </mc:AlternateContent>
  <xr:revisionPtr revIDLastSave="0" documentId="13_ncr:1_{2205A195-4B25-7E49-BC12-67F7BEC123B4}" xr6:coauthVersionLast="45" xr6:coauthVersionMax="45" xr10:uidLastSave="{00000000-0000-0000-0000-000000000000}"/>
  <bookViews>
    <workbookView xWindow="0" yWindow="460" windowWidth="25600" windowHeight="14240" tabRatio="500" xr2:uid="{00000000-000D-0000-FFFF-FFFF00000000}"/>
  </bookViews>
  <sheets>
    <sheet name="Sheet1" sheetId="1" r:id="rId1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U3" i="1" l="1"/>
  <c r="G3" i="1"/>
  <c r="D3" i="1" s="1"/>
  <c r="EX3" i="1"/>
  <c r="EY3" i="1" s="1"/>
  <c r="E3" i="1"/>
  <c r="EP3" i="1"/>
  <c r="EM3" i="1"/>
  <c r="ES3" i="1" s="1"/>
  <c r="EZ3" i="1" s="1"/>
  <c r="FA3" i="1" s="1"/>
  <c r="EU4" i="1"/>
  <c r="G4" i="1"/>
  <c r="D4" i="1" s="1"/>
  <c r="EV4" i="1" s="1"/>
  <c r="FB4" i="1" s="1"/>
  <c r="EX4" i="1"/>
  <c r="E4" i="1"/>
  <c r="EY4" i="1" s="1"/>
  <c r="EP4" i="1"/>
  <c r="EM4" i="1"/>
  <c r="ES4" i="1"/>
  <c r="EZ4" i="1" s="1"/>
  <c r="FA4" i="1" s="1"/>
  <c r="EU5" i="1"/>
  <c r="G5" i="1"/>
  <c r="D5" i="1" s="1"/>
  <c r="EX5" i="1"/>
  <c r="EY5" i="1" s="1"/>
  <c r="E5" i="1"/>
  <c r="EP5" i="1"/>
  <c r="EM5" i="1"/>
  <c r="ES5" i="1" s="1"/>
  <c r="EZ5" i="1" s="1"/>
  <c r="FA5" i="1" s="1"/>
  <c r="EU6" i="1"/>
  <c r="G6" i="1"/>
  <c r="D6" i="1" s="1"/>
  <c r="EV6" i="1" s="1"/>
  <c r="EX6" i="1"/>
  <c r="EY6" i="1" s="1"/>
  <c r="E6" i="1"/>
  <c r="EP6" i="1"/>
  <c r="ES6" i="1" s="1"/>
  <c r="EZ6" i="1" s="1"/>
  <c r="FA6" i="1" s="1"/>
  <c r="EM6" i="1"/>
  <c r="EU7" i="1"/>
  <c r="G7" i="1"/>
  <c r="D7" i="1"/>
  <c r="EV7" i="1" s="1"/>
  <c r="EX7" i="1"/>
  <c r="E7" i="1"/>
  <c r="EY7" i="1"/>
  <c r="EP7" i="1"/>
  <c r="ES7" i="1" s="1"/>
  <c r="EZ7" i="1" s="1"/>
  <c r="FA7" i="1" s="1"/>
  <c r="EM7" i="1"/>
  <c r="EU8" i="1"/>
  <c r="G8" i="1"/>
  <c r="D8" i="1" s="1"/>
  <c r="EX8" i="1"/>
  <c r="E8" i="1"/>
  <c r="EY8" i="1" s="1"/>
  <c r="EP8" i="1"/>
  <c r="EM8" i="1"/>
  <c r="ES8" i="1"/>
  <c r="EZ8" i="1" s="1"/>
  <c r="FA8" i="1" s="1"/>
  <c r="EU9" i="1"/>
  <c r="G9" i="1"/>
  <c r="D9" i="1" s="1"/>
  <c r="EX9" i="1"/>
  <c r="EY9" i="1" s="1"/>
  <c r="E9" i="1"/>
  <c r="EP9" i="1"/>
  <c r="EM9" i="1"/>
  <c r="ES9" i="1" s="1"/>
  <c r="EZ9" i="1" s="1"/>
  <c r="FA9" i="1" s="1"/>
  <c r="EU10" i="1"/>
  <c r="G10" i="1"/>
  <c r="D10" i="1" s="1"/>
  <c r="EV10" i="1" s="1"/>
  <c r="FB10" i="1" s="1"/>
  <c r="EX10" i="1"/>
  <c r="EY10" i="1" s="1"/>
  <c r="E10" i="1"/>
  <c r="EP10" i="1"/>
  <c r="ES10" i="1" s="1"/>
  <c r="EZ10" i="1" s="1"/>
  <c r="FA10" i="1" s="1"/>
  <c r="EM10" i="1"/>
  <c r="EU11" i="1"/>
  <c r="G11" i="1"/>
  <c r="D11" i="1"/>
  <c r="EV11" i="1" s="1"/>
  <c r="EX11" i="1"/>
  <c r="E11" i="1"/>
  <c r="EY11" i="1"/>
  <c r="EP11" i="1"/>
  <c r="ES11" i="1" s="1"/>
  <c r="EZ11" i="1" s="1"/>
  <c r="FA11" i="1" s="1"/>
  <c r="EM11" i="1"/>
  <c r="EU12" i="1"/>
  <c r="G12" i="1"/>
  <c r="D12" i="1" s="1"/>
  <c r="EX12" i="1"/>
  <c r="E12" i="1"/>
  <c r="EY12" i="1" s="1"/>
  <c r="EP12" i="1"/>
  <c r="EM12" i="1"/>
  <c r="ES12" i="1"/>
  <c r="EZ12" i="1" s="1"/>
  <c r="FA12" i="1" s="1"/>
  <c r="EU13" i="1"/>
  <c r="EV13" i="1" s="1"/>
  <c r="FB13" i="1" s="1"/>
  <c r="G13" i="1"/>
  <c r="D13" i="1" s="1"/>
  <c r="EX13" i="1"/>
  <c r="EY13" i="1" s="1"/>
  <c r="E13" i="1"/>
  <c r="EP13" i="1"/>
  <c r="EM13" i="1"/>
  <c r="ES13" i="1" s="1"/>
  <c r="EZ13" i="1" s="1"/>
  <c r="FA13" i="1" s="1"/>
  <c r="EU14" i="1"/>
  <c r="G14" i="1"/>
  <c r="D14" i="1" s="1"/>
  <c r="EV14" i="1" s="1"/>
  <c r="FB14" i="1" s="1"/>
  <c r="EX14" i="1"/>
  <c r="EY14" i="1" s="1"/>
  <c r="E14" i="1"/>
  <c r="EP14" i="1"/>
  <c r="ES14" i="1" s="1"/>
  <c r="EZ14" i="1" s="1"/>
  <c r="FA14" i="1" s="1"/>
  <c r="EM14" i="1"/>
  <c r="EU15" i="1"/>
  <c r="G15" i="1"/>
  <c r="D15" i="1"/>
  <c r="EV15" i="1" s="1"/>
  <c r="EX15" i="1"/>
  <c r="E15" i="1"/>
  <c r="EY15" i="1"/>
  <c r="EP15" i="1"/>
  <c r="ES15" i="1" s="1"/>
  <c r="EZ15" i="1" s="1"/>
  <c r="FA15" i="1" s="1"/>
  <c r="EM15" i="1"/>
  <c r="EU16" i="1"/>
  <c r="EV16" i="1"/>
  <c r="EX16" i="1"/>
  <c r="EY16" i="1" s="1"/>
  <c r="EP16" i="1"/>
  <c r="EM16" i="1"/>
  <c r="ES16" i="1" s="1"/>
  <c r="EZ16" i="1" s="1"/>
  <c r="FA16" i="1" s="1"/>
  <c r="EU17" i="1"/>
  <c r="G17" i="1"/>
  <c r="D17" i="1" s="1"/>
  <c r="EV17" i="1" s="1"/>
  <c r="EX17" i="1"/>
  <c r="EY17" i="1" s="1"/>
  <c r="E17" i="1"/>
  <c r="EP17" i="1"/>
  <c r="ES17" i="1" s="1"/>
  <c r="EZ17" i="1" s="1"/>
  <c r="FA17" i="1" s="1"/>
  <c r="EM17" i="1"/>
  <c r="EU18" i="1"/>
  <c r="G18" i="1"/>
  <c r="D18" i="1"/>
  <c r="EV18" i="1" s="1"/>
  <c r="EX18" i="1"/>
  <c r="E18" i="1"/>
  <c r="EY18" i="1"/>
  <c r="EP18" i="1"/>
  <c r="ES18" i="1" s="1"/>
  <c r="EZ18" i="1" s="1"/>
  <c r="FA18" i="1" s="1"/>
  <c r="EM18" i="1"/>
  <c r="EU19" i="1"/>
  <c r="EV19" i="1" s="1"/>
  <c r="FB19" i="1" s="1"/>
  <c r="G19" i="1"/>
  <c r="D19" i="1" s="1"/>
  <c r="EX19" i="1"/>
  <c r="E19" i="1"/>
  <c r="EY19" i="1" s="1"/>
  <c r="EP19" i="1"/>
  <c r="EM19" i="1"/>
  <c r="ES19" i="1"/>
  <c r="EZ19" i="1" s="1"/>
  <c r="FA19" i="1" s="1"/>
  <c r="EU20" i="1"/>
  <c r="G20" i="1"/>
  <c r="D20" i="1" s="1"/>
  <c r="EX20" i="1"/>
  <c r="EY20" i="1" s="1"/>
  <c r="E20" i="1"/>
  <c r="EP20" i="1"/>
  <c r="EM20" i="1"/>
  <c r="ES20" i="1" s="1"/>
  <c r="EZ20" i="1" s="1"/>
  <c r="FA20" i="1" s="1"/>
  <c r="EU21" i="1"/>
  <c r="G21" i="1"/>
  <c r="D21" i="1" s="1"/>
  <c r="EV21" i="1" s="1"/>
  <c r="EX21" i="1"/>
  <c r="EY21" i="1" s="1"/>
  <c r="E21" i="1"/>
  <c r="EP21" i="1"/>
  <c r="ES21" i="1" s="1"/>
  <c r="EZ21" i="1" s="1"/>
  <c r="FA21" i="1" s="1"/>
  <c r="EM21" i="1"/>
  <c r="EU22" i="1"/>
  <c r="G22" i="1"/>
  <c r="D22" i="1"/>
  <c r="EV22" i="1" s="1"/>
  <c r="EX22" i="1"/>
  <c r="E22" i="1"/>
  <c r="EY22" i="1"/>
  <c r="EP22" i="1"/>
  <c r="ES22" i="1" s="1"/>
  <c r="EZ22" i="1" s="1"/>
  <c r="FA22" i="1" s="1"/>
  <c r="EM22" i="1"/>
  <c r="EU23" i="1"/>
  <c r="G23" i="1"/>
  <c r="D23" i="1" s="1"/>
  <c r="EX23" i="1"/>
  <c r="EY23" i="1" s="1"/>
  <c r="E23" i="1"/>
  <c r="EP23" i="1"/>
  <c r="EM23" i="1"/>
  <c r="ES23" i="1"/>
  <c r="EZ23" i="1" s="1"/>
  <c r="FA23" i="1" s="1"/>
  <c r="EU24" i="1"/>
  <c r="G24" i="1"/>
  <c r="D24" i="1" s="1"/>
  <c r="EX24" i="1"/>
  <c r="EY24" i="1" s="1"/>
  <c r="E24" i="1"/>
  <c r="EP24" i="1"/>
  <c r="EM24" i="1"/>
  <c r="ES24" i="1" s="1"/>
  <c r="EZ24" i="1" s="1"/>
  <c r="FA24" i="1" s="1"/>
  <c r="EU25" i="1"/>
  <c r="G25" i="1"/>
  <c r="D25" i="1" s="1"/>
  <c r="EV25" i="1" s="1"/>
  <c r="FB25" i="1" s="1"/>
  <c r="EX25" i="1"/>
  <c r="EY25" i="1" s="1"/>
  <c r="E25" i="1"/>
  <c r="EP25" i="1"/>
  <c r="ES25" i="1" s="1"/>
  <c r="EZ25" i="1" s="1"/>
  <c r="FA25" i="1" s="1"/>
  <c r="EM25" i="1"/>
  <c r="EU26" i="1"/>
  <c r="G26" i="1"/>
  <c r="D26" i="1"/>
  <c r="EV26" i="1" s="1"/>
  <c r="EX26" i="1"/>
  <c r="E26" i="1"/>
  <c r="EY26" i="1"/>
  <c r="EP26" i="1"/>
  <c r="ES26" i="1" s="1"/>
  <c r="EZ26" i="1" s="1"/>
  <c r="FA26" i="1" s="1"/>
  <c r="EM26" i="1"/>
  <c r="EU27" i="1"/>
  <c r="G27" i="1"/>
  <c r="D27" i="1" s="1"/>
  <c r="EX27" i="1"/>
  <c r="E27" i="1"/>
  <c r="EY27" i="1" s="1"/>
  <c r="EP27" i="1"/>
  <c r="EM27" i="1"/>
  <c r="ES27" i="1"/>
  <c r="EZ27" i="1" s="1"/>
  <c r="FA27" i="1" s="1"/>
  <c r="EU28" i="1"/>
  <c r="EV28" i="1" s="1"/>
  <c r="FB28" i="1" s="1"/>
  <c r="G28" i="1"/>
  <c r="D28" i="1" s="1"/>
  <c r="EX28" i="1"/>
  <c r="EY28" i="1" s="1"/>
  <c r="E28" i="1"/>
  <c r="EP28" i="1"/>
  <c r="EM28" i="1"/>
  <c r="ES28" i="1" s="1"/>
  <c r="EZ28" i="1" s="1"/>
  <c r="FA28" i="1" s="1"/>
  <c r="EU29" i="1"/>
  <c r="G29" i="1"/>
  <c r="D29" i="1" s="1"/>
  <c r="EV29" i="1" s="1"/>
  <c r="FB29" i="1" s="1"/>
  <c r="EX29" i="1"/>
  <c r="EY29" i="1" s="1"/>
  <c r="E29" i="1"/>
  <c r="EP29" i="1"/>
  <c r="ES29" i="1" s="1"/>
  <c r="EZ29" i="1" s="1"/>
  <c r="FA29" i="1" s="1"/>
  <c r="EM29" i="1"/>
  <c r="EU30" i="1"/>
  <c r="G30" i="1"/>
  <c r="D30" i="1"/>
  <c r="EV30" i="1" s="1"/>
  <c r="EX30" i="1"/>
  <c r="E30" i="1"/>
  <c r="EY30" i="1"/>
  <c r="EP30" i="1"/>
  <c r="ES30" i="1" s="1"/>
  <c r="EZ30" i="1" s="1"/>
  <c r="FA30" i="1" s="1"/>
  <c r="EM30" i="1"/>
  <c r="EU31" i="1"/>
  <c r="EV31" i="1" s="1"/>
  <c r="FB31" i="1" s="1"/>
  <c r="G31" i="1"/>
  <c r="D31" i="1" s="1"/>
  <c r="EX31" i="1"/>
  <c r="EY31" i="1" s="1"/>
  <c r="E31" i="1"/>
  <c r="EP31" i="1"/>
  <c r="EM31" i="1"/>
  <c r="ES31" i="1"/>
  <c r="EZ31" i="1" s="1"/>
  <c r="FA31" i="1" s="1"/>
  <c r="EU32" i="1"/>
  <c r="EV32" i="1" s="1"/>
  <c r="G32" i="1"/>
  <c r="D32" i="1" s="1"/>
  <c r="EX32" i="1"/>
  <c r="EY32" i="1" s="1"/>
  <c r="E32" i="1"/>
  <c r="EP32" i="1"/>
  <c r="EM32" i="1"/>
  <c r="ES32" i="1" s="1"/>
  <c r="EZ32" i="1" s="1"/>
  <c r="FA32" i="1" s="1"/>
  <c r="EU33" i="1"/>
  <c r="G33" i="1"/>
  <c r="D33" i="1" s="1"/>
  <c r="EV33" i="1" s="1"/>
  <c r="EX33" i="1"/>
  <c r="EY33" i="1" s="1"/>
  <c r="E33" i="1"/>
  <c r="EP33" i="1"/>
  <c r="ES33" i="1" s="1"/>
  <c r="EZ33" i="1" s="1"/>
  <c r="FA33" i="1" s="1"/>
  <c r="EM33" i="1"/>
  <c r="EU34" i="1"/>
  <c r="G34" i="1"/>
  <c r="D34" i="1"/>
  <c r="EV34" i="1" s="1"/>
  <c r="EX34" i="1"/>
  <c r="E34" i="1"/>
  <c r="EY34" i="1"/>
  <c r="EP34" i="1"/>
  <c r="ES34" i="1" s="1"/>
  <c r="EZ34" i="1" s="1"/>
  <c r="FA34" i="1" s="1"/>
  <c r="EM34" i="1"/>
  <c r="EU35" i="1"/>
  <c r="G35" i="1"/>
  <c r="D35" i="1" s="1"/>
  <c r="EX35" i="1"/>
  <c r="E35" i="1"/>
  <c r="EY35" i="1" s="1"/>
  <c r="EP35" i="1"/>
  <c r="EM35" i="1"/>
  <c r="ES35" i="1"/>
  <c r="EZ35" i="1" s="1"/>
  <c r="FA35" i="1" s="1"/>
  <c r="EU36" i="1"/>
  <c r="G36" i="1"/>
  <c r="D36" i="1" s="1"/>
  <c r="EX36" i="1"/>
  <c r="EY36" i="1" s="1"/>
  <c r="E36" i="1"/>
  <c r="EP36" i="1"/>
  <c r="EM36" i="1"/>
  <c r="ES36" i="1" s="1"/>
  <c r="EZ36" i="1" s="1"/>
  <c r="FA36" i="1" s="1"/>
  <c r="EU37" i="1"/>
  <c r="G37" i="1"/>
  <c r="D37" i="1" s="1"/>
  <c r="EV37" i="1" s="1"/>
  <c r="EX37" i="1"/>
  <c r="EY37" i="1" s="1"/>
  <c r="E37" i="1"/>
  <c r="EP37" i="1"/>
  <c r="ES37" i="1" s="1"/>
  <c r="EZ37" i="1" s="1"/>
  <c r="FA37" i="1" s="1"/>
  <c r="EM37" i="1"/>
  <c r="EU38" i="1"/>
  <c r="G38" i="1"/>
  <c r="D38" i="1"/>
  <c r="EV38" i="1" s="1"/>
  <c r="EX38" i="1"/>
  <c r="E38" i="1"/>
  <c r="EY38" i="1"/>
  <c r="EP38" i="1"/>
  <c r="ES38" i="1" s="1"/>
  <c r="EZ38" i="1" s="1"/>
  <c r="FA38" i="1" s="1"/>
  <c r="EM38" i="1"/>
  <c r="EU39" i="1"/>
  <c r="G39" i="1"/>
  <c r="D39" i="1" s="1"/>
  <c r="EX39" i="1"/>
  <c r="EY39" i="1" s="1"/>
  <c r="E39" i="1"/>
  <c r="EP39" i="1"/>
  <c r="EM39" i="1"/>
  <c r="ES39" i="1"/>
  <c r="EZ39" i="1" s="1"/>
  <c r="FA39" i="1" s="1"/>
  <c r="EU40" i="1"/>
  <c r="G40" i="1"/>
  <c r="D40" i="1" s="1"/>
  <c r="EX40" i="1"/>
  <c r="EY40" i="1" s="1"/>
  <c r="E40" i="1"/>
  <c r="EP40" i="1"/>
  <c r="EM40" i="1"/>
  <c r="ES40" i="1" s="1"/>
  <c r="EZ40" i="1" s="1"/>
  <c r="FA40" i="1" s="1"/>
  <c r="EU41" i="1"/>
  <c r="G41" i="1"/>
  <c r="D41" i="1" s="1"/>
  <c r="EV41" i="1" s="1"/>
  <c r="FB41" i="1" s="1"/>
  <c r="EX41" i="1"/>
  <c r="EY41" i="1" s="1"/>
  <c r="E41" i="1"/>
  <c r="EP41" i="1"/>
  <c r="ES41" i="1" s="1"/>
  <c r="EZ41" i="1" s="1"/>
  <c r="FA41" i="1" s="1"/>
  <c r="EM41" i="1"/>
  <c r="EU42" i="1"/>
  <c r="G42" i="1"/>
  <c r="D42" i="1"/>
  <c r="EV42" i="1" s="1"/>
  <c r="EX42" i="1"/>
  <c r="E42" i="1"/>
  <c r="EY42" i="1"/>
  <c r="EP42" i="1"/>
  <c r="ES42" i="1" s="1"/>
  <c r="EZ42" i="1" s="1"/>
  <c r="FA42" i="1" s="1"/>
  <c r="EM42" i="1"/>
  <c r="EU43" i="1"/>
  <c r="G43" i="1"/>
  <c r="D43" i="1" s="1"/>
  <c r="EX43" i="1"/>
  <c r="E43" i="1"/>
  <c r="EY43" i="1" s="1"/>
  <c r="EP43" i="1"/>
  <c r="EM43" i="1"/>
  <c r="ES43" i="1"/>
  <c r="EZ43" i="1" s="1"/>
  <c r="FA43" i="1" s="1"/>
  <c r="EU44" i="1"/>
  <c r="EV44" i="1" s="1"/>
  <c r="FB44" i="1" s="1"/>
  <c r="G44" i="1"/>
  <c r="D44" i="1" s="1"/>
  <c r="EX44" i="1"/>
  <c r="EY44" i="1" s="1"/>
  <c r="E44" i="1"/>
  <c r="EP44" i="1"/>
  <c r="EM44" i="1"/>
  <c r="ES44" i="1" s="1"/>
  <c r="EZ44" i="1" s="1"/>
  <c r="FA44" i="1" s="1"/>
  <c r="EU45" i="1"/>
  <c r="G45" i="1"/>
  <c r="D45" i="1" s="1"/>
  <c r="EV45" i="1" s="1"/>
  <c r="EX45" i="1"/>
  <c r="EY45" i="1" s="1"/>
  <c r="E45" i="1"/>
  <c r="EP45" i="1"/>
  <c r="ES45" i="1" s="1"/>
  <c r="EZ45" i="1" s="1"/>
  <c r="FA45" i="1" s="1"/>
  <c r="EM45" i="1"/>
  <c r="EU46" i="1"/>
  <c r="G46" i="1"/>
  <c r="D46" i="1"/>
  <c r="EV46" i="1" s="1"/>
  <c r="EX46" i="1"/>
  <c r="E46" i="1"/>
  <c r="EY46" i="1"/>
  <c r="EP46" i="1"/>
  <c r="ES46" i="1" s="1"/>
  <c r="EZ46" i="1" s="1"/>
  <c r="FA46" i="1" s="1"/>
  <c r="EM46" i="1"/>
  <c r="EU47" i="1"/>
  <c r="G47" i="1"/>
  <c r="D47" i="1" s="1"/>
  <c r="EV47" i="1" s="1"/>
  <c r="EX47" i="1"/>
  <c r="E47" i="1"/>
  <c r="EY47" i="1" s="1"/>
  <c r="EP47" i="1"/>
  <c r="EM47" i="1"/>
  <c r="ES47" i="1"/>
  <c r="EZ47" i="1" s="1"/>
  <c r="FA47" i="1" s="1"/>
  <c r="EU48" i="1"/>
  <c r="EV48" i="1" s="1"/>
  <c r="EX48" i="1"/>
  <c r="EY48" i="1" s="1"/>
  <c r="EP48" i="1"/>
  <c r="ES48" i="1" s="1"/>
  <c r="EZ48" i="1" s="1"/>
  <c r="EM48" i="1"/>
  <c r="FA48" i="1"/>
  <c r="EU49" i="1"/>
  <c r="EV49" i="1" s="1"/>
  <c r="EX49" i="1"/>
  <c r="EY49" i="1" s="1"/>
  <c r="EP49" i="1"/>
  <c r="EM49" i="1"/>
  <c r="ES49" i="1"/>
  <c r="EZ49" i="1" s="1"/>
  <c r="FA49" i="1" s="1"/>
  <c r="EU50" i="1"/>
  <c r="G50" i="1"/>
  <c r="D50" i="1" s="1"/>
  <c r="EX50" i="1"/>
  <c r="EY50" i="1" s="1"/>
  <c r="E50" i="1"/>
  <c r="EP50" i="1"/>
  <c r="EM50" i="1"/>
  <c r="ES50" i="1" s="1"/>
  <c r="EZ50" i="1" s="1"/>
  <c r="FA50" i="1" s="1"/>
  <c r="EU51" i="1"/>
  <c r="G51" i="1"/>
  <c r="D51" i="1" s="1"/>
  <c r="EV51" i="1"/>
  <c r="EX51" i="1"/>
  <c r="EY51" i="1" s="1"/>
  <c r="E51" i="1"/>
  <c r="EP51" i="1"/>
  <c r="EM51" i="1"/>
  <c r="ES51" i="1" s="1"/>
  <c r="EZ51" i="1" s="1"/>
  <c r="FA51" i="1" s="1"/>
  <c r="FB51" i="1" s="1"/>
  <c r="EU52" i="1"/>
  <c r="G52" i="1"/>
  <c r="D52" i="1" s="1"/>
  <c r="EV52" i="1" s="1"/>
  <c r="EX52" i="1"/>
  <c r="EY52" i="1" s="1"/>
  <c r="E52" i="1"/>
  <c r="EP52" i="1"/>
  <c r="ES52" i="1" s="1"/>
  <c r="EZ52" i="1" s="1"/>
  <c r="FA52" i="1" s="1"/>
  <c r="EM52" i="1"/>
  <c r="EU53" i="1"/>
  <c r="EV53" i="1" s="1"/>
  <c r="G53" i="1"/>
  <c r="D53" i="1"/>
  <c r="EX53" i="1"/>
  <c r="E53" i="1"/>
  <c r="EY53" i="1"/>
  <c r="EP53" i="1"/>
  <c r="ES53" i="1" s="1"/>
  <c r="EZ53" i="1" s="1"/>
  <c r="FA53" i="1" s="1"/>
  <c r="EM53" i="1"/>
  <c r="EU54" i="1"/>
  <c r="G54" i="1"/>
  <c r="D54" i="1" s="1"/>
  <c r="EV54" i="1" s="1"/>
  <c r="EX54" i="1"/>
  <c r="E54" i="1"/>
  <c r="EY54" i="1" s="1"/>
  <c r="EP54" i="1"/>
  <c r="EM54" i="1"/>
  <c r="ES54" i="1"/>
  <c r="EZ54" i="1" s="1"/>
  <c r="FA54" i="1" s="1"/>
  <c r="EU55" i="1"/>
  <c r="EV55" i="1" s="1"/>
  <c r="G55" i="1"/>
  <c r="D55" i="1"/>
  <c r="EX55" i="1"/>
  <c r="EY55" i="1" s="1"/>
  <c r="E55" i="1"/>
  <c r="FA55" i="1"/>
  <c r="EU56" i="1"/>
  <c r="G56" i="1"/>
  <c r="D56" i="1" s="1"/>
  <c r="EV56" i="1" s="1"/>
  <c r="EX56" i="1"/>
  <c r="EY56" i="1" s="1"/>
  <c r="E56" i="1"/>
  <c r="EP56" i="1"/>
  <c r="ES56" i="1" s="1"/>
  <c r="EZ56" i="1" s="1"/>
  <c r="FA56" i="1" s="1"/>
  <c r="EM56" i="1"/>
  <c r="EU57" i="1"/>
  <c r="EV57" i="1" s="1"/>
  <c r="G57" i="1"/>
  <c r="D57" i="1"/>
  <c r="EX57" i="1"/>
  <c r="EY57" i="1" s="1"/>
  <c r="E57" i="1"/>
  <c r="EP57" i="1"/>
  <c r="ES57" i="1" s="1"/>
  <c r="EZ57" i="1" s="1"/>
  <c r="FA57" i="1" s="1"/>
  <c r="EM57" i="1"/>
  <c r="EU58" i="1"/>
  <c r="G58" i="1"/>
  <c r="D58" i="1" s="1"/>
  <c r="EV58" i="1" s="1"/>
  <c r="EX58" i="1"/>
  <c r="E58" i="1"/>
  <c r="EY58" i="1" s="1"/>
  <c r="EP58" i="1"/>
  <c r="EM58" i="1"/>
  <c r="ES58" i="1"/>
  <c r="EZ58" i="1" s="1"/>
  <c r="FA58" i="1" s="1"/>
  <c r="EU59" i="1"/>
  <c r="EV59" i="1" s="1"/>
  <c r="FB59" i="1" s="1"/>
  <c r="G59" i="1"/>
  <c r="D59" i="1"/>
  <c r="EX59" i="1"/>
  <c r="EY59" i="1" s="1"/>
  <c r="E59" i="1"/>
  <c r="EP59" i="1"/>
  <c r="EM59" i="1"/>
  <c r="ES59" i="1" s="1"/>
  <c r="EZ59" i="1" s="1"/>
  <c r="FA59" i="1" s="1"/>
  <c r="EU60" i="1"/>
  <c r="G60" i="1"/>
  <c r="D60" i="1" s="1"/>
  <c r="EV60" i="1" s="1"/>
  <c r="FB60" i="1" s="1"/>
  <c r="EX60" i="1"/>
  <c r="EY60" i="1" s="1"/>
  <c r="E60" i="1"/>
  <c r="EP60" i="1"/>
  <c r="ES60" i="1" s="1"/>
  <c r="EZ60" i="1" s="1"/>
  <c r="FA60" i="1" s="1"/>
  <c r="EM60" i="1"/>
  <c r="EU61" i="1"/>
  <c r="EV61" i="1" s="1"/>
  <c r="FB61" i="1" s="1"/>
  <c r="G61" i="1"/>
  <c r="D61" i="1"/>
  <c r="EX61" i="1"/>
  <c r="E61" i="1"/>
  <c r="EY61" i="1"/>
  <c r="EP61" i="1"/>
  <c r="ES61" i="1" s="1"/>
  <c r="EZ61" i="1" s="1"/>
  <c r="FA61" i="1" s="1"/>
  <c r="EM61" i="1"/>
  <c r="EU62" i="1"/>
  <c r="G62" i="1"/>
  <c r="D62" i="1" s="1"/>
  <c r="EV62" i="1" s="1"/>
  <c r="EX62" i="1"/>
  <c r="E62" i="1"/>
  <c r="EY62" i="1" s="1"/>
  <c r="EP62" i="1"/>
  <c r="EM62" i="1"/>
  <c r="ES62" i="1"/>
  <c r="EZ62" i="1" s="1"/>
  <c r="FA62" i="1" s="1"/>
  <c r="EU63" i="1"/>
  <c r="EV63" i="1" s="1"/>
  <c r="FB63" i="1" s="1"/>
  <c r="G63" i="1"/>
  <c r="D63" i="1"/>
  <c r="EX63" i="1"/>
  <c r="EY63" i="1" s="1"/>
  <c r="E63" i="1"/>
  <c r="EP63" i="1"/>
  <c r="EM63" i="1"/>
  <c r="ES63" i="1" s="1"/>
  <c r="EZ63" i="1" s="1"/>
  <c r="FA63" i="1" s="1"/>
  <c r="EU64" i="1"/>
  <c r="EV64" i="1"/>
  <c r="EX64" i="1"/>
  <c r="EY64" i="1"/>
  <c r="EP64" i="1"/>
  <c r="ES64" i="1" s="1"/>
  <c r="EZ64" i="1" s="1"/>
  <c r="FA64" i="1" s="1"/>
  <c r="FB64" i="1" s="1"/>
  <c r="EM64" i="1"/>
  <c r="EU65" i="1"/>
  <c r="G65" i="1"/>
  <c r="D65" i="1" s="1"/>
  <c r="EV65" i="1" s="1"/>
  <c r="EX65" i="1"/>
  <c r="EY65" i="1" s="1"/>
  <c r="E65" i="1"/>
  <c r="EP65" i="1"/>
  <c r="EM65" i="1"/>
  <c r="ES65" i="1"/>
  <c r="EZ65" i="1" s="1"/>
  <c r="FA65" i="1" s="1"/>
  <c r="EU66" i="1"/>
  <c r="EV66" i="1" s="1"/>
  <c r="FB66" i="1" s="1"/>
  <c r="G66" i="1"/>
  <c r="D66" i="1"/>
  <c r="EX66" i="1"/>
  <c r="EY66" i="1" s="1"/>
  <c r="E66" i="1"/>
  <c r="EP66" i="1"/>
  <c r="EM66" i="1"/>
  <c r="ES66" i="1" s="1"/>
  <c r="EZ66" i="1" s="1"/>
  <c r="FA66" i="1" s="1"/>
  <c r="EU67" i="1"/>
  <c r="G67" i="1"/>
  <c r="D67" i="1" s="1"/>
  <c r="EV67" i="1" s="1"/>
  <c r="FB67" i="1" s="1"/>
  <c r="EX67" i="1"/>
  <c r="EY67" i="1" s="1"/>
  <c r="E67" i="1"/>
  <c r="EP67" i="1"/>
  <c r="ES67" i="1" s="1"/>
  <c r="EZ67" i="1" s="1"/>
  <c r="FA67" i="1" s="1"/>
  <c r="EM67" i="1"/>
  <c r="EU68" i="1"/>
  <c r="EV68" i="1" s="1"/>
  <c r="G68" i="1"/>
  <c r="D68" i="1"/>
  <c r="EX68" i="1"/>
  <c r="E68" i="1"/>
  <c r="EY68" i="1"/>
  <c r="EP68" i="1"/>
  <c r="ES68" i="1" s="1"/>
  <c r="EZ68" i="1" s="1"/>
  <c r="FA68" i="1" s="1"/>
  <c r="EM68" i="1"/>
  <c r="EU69" i="1"/>
  <c r="G69" i="1"/>
  <c r="D69" i="1" s="1"/>
  <c r="EV69" i="1" s="1"/>
  <c r="EX69" i="1"/>
  <c r="EY69" i="1" s="1"/>
  <c r="E69" i="1"/>
  <c r="EP69" i="1"/>
  <c r="EM69" i="1"/>
  <c r="ES69" i="1"/>
  <c r="EZ69" i="1" s="1"/>
  <c r="FA69" i="1" s="1"/>
  <c r="EU70" i="1"/>
  <c r="EV70" i="1" s="1"/>
  <c r="FB70" i="1" s="1"/>
  <c r="G70" i="1"/>
  <c r="D70" i="1"/>
  <c r="EX70" i="1"/>
  <c r="EY70" i="1" s="1"/>
  <c r="E70" i="1"/>
  <c r="EP70" i="1"/>
  <c r="EM70" i="1"/>
  <c r="ES70" i="1" s="1"/>
  <c r="EZ70" i="1" s="1"/>
  <c r="FA70" i="1" s="1"/>
  <c r="EU71" i="1"/>
  <c r="G71" i="1"/>
  <c r="D71" i="1" s="1"/>
  <c r="EV71" i="1" s="1"/>
  <c r="FB71" i="1" s="1"/>
  <c r="EX71" i="1"/>
  <c r="EY71" i="1" s="1"/>
  <c r="E71" i="1"/>
  <c r="EP71" i="1"/>
  <c r="ES71" i="1" s="1"/>
  <c r="EZ71" i="1" s="1"/>
  <c r="FA71" i="1" s="1"/>
  <c r="EM71" i="1"/>
  <c r="EU72" i="1"/>
  <c r="EV72" i="1" s="1"/>
  <c r="G72" i="1"/>
  <c r="D72" i="1"/>
  <c r="EX72" i="1"/>
  <c r="E72" i="1"/>
  <c r="EY72" i="1"/>
  <c r="EP72" i="1"/>
  <c r="EM72" i="1"/>
  <c r="ES72" i="1" s="1"/>
  <c r="EZ72" i="1" s="1"/>
  <c r="FA72" i="1" s="1"/>
  <c r="EU73" i="1"/>
  <c r="G73" i="1"/>
  <c r="D73" i="1" s="1"/>
  <c r="EV73" i="1" s="1"/>
  <c r="EX73" i="1"/>
  <c r="EY73" i="1" s="1"/>
  <c r="E73" i="1"/>
  <c r="EP73" i="1"/>
  <c r="EM73" i="1"/>
  <c r="ES73" i="1"/>
  <c r="EZ73" i="1" s="1"/>
  <c r="FA73" i="1" s="1"/>
  <c r="EU74" i="1"/>
  <c r="EV74" i="1" s="1"/>
  <c r="FB74" i="1" s="1"/>
  <c r="G74" i="1"/>
  <c r="D74" i="1"/>
  <c r="EX74" i="1"/>
  <c r="EY74" i="1" s="1"/>
  <c r="E74" i="1"/>
  <c r="EP74" i="1"/>
  <c r="EM74" i="1"/>
  <c r="ES74" i="1" s="1"/>
  <c r="EZ74" i="1" s="1"/>
  <c r="FA74" i="1" s="1"/>
  <c r="EU75" i="1"/>
  <c r="G75" i="1"/>
  <c r="D75" i="1" s="1"/>
  <c r="EV75" i="1" s="1"/>
  <c r="FB75" i="1" s="1"/>
  <c r="EX75" i="1"/>
  <c r="EY75" i="1" s="1"/>
  <c r="E75" i="1"/>
  <c r="EP75" i="1"/>
  <c r="ES75" i="1" s="1"/>
  <c r="EZ75" i="1" s="1"/>
  <c r="FA75" i="1" s="1"/>
  <c r="EM75" i="1"/>
  <c r="EU76" i="1"/>
  <c r="EV76" i="1" s="1"/>
  <c r="G76" i="1"/>
  <c r="D76" i="1"/>
  <c r="EX76" i="1"/>
  <c r="EY76" i="1" s="1"/>
  <c r="E76" i="1"/>
  <c r="EP76" i="1"/>
  <c r="EM76" i="1"/>
  <c r="ES76" i="1" s="1"/>
  <c r="EZ76" i="1" s="1"/>
  <c r="FA76" i="1" s="1"/>
  <c r="EU77" i="1"/>
  <c r="G77" i="1"/>
  <c r="D77" i="1" s="1"/>
  <c r="EV77" i="1" s="1"/>
  <c r="EX77" i="1"/>
  <c r="EY77" i="1" s="1"/>
  <c r="E77" i="1"/>
  <c r="EP77" i="1"/>
  <c r="EM77" i="1"/>
  <c r="ES77" i="1"/>
  <c r="EZ77" i="1" s="1"/>
  <c r="FA77" i="1" s="1"/>
  <c r="EU78" i="1"/>
  <c r="EV78" i="1" s="1"/>
  <c r="FB78" i="1" s="1"/>
  <c r="G78" i="1"/>
  <c r="D78" i="1"/>
  <c r="EX78" i="1"/>
  <c r="EY78" i="1" s="1"/>
  <c r="E78" i="1"/>
  <c r="EP78" i="1"/>
  <c r="EM78" i="1"/>
  <c r="ES78" i="1" s="1"/>
  <c r="EZ78" i="1" s="1"/>
  <c r="FA78" i="1" s="1"/>
  <c r="EU79" i="1"/>
  <c r="G79" i="1"/>
  <c r="D79" i="1" s="1"/>
  <c r="EV79" i="1" s="1"/>
  <c r="EX79" i="1"/>
  <c r="EY79" i="1" s="1"/>
  <c r="E79" i="1"/>
  <c r="EP79" i="1"/>
  <c r="ES79" i="1" s="1"/>
  <c r="EZ79" i="1" s="1"/>
  <c r="FA79" i="1" s="1"/>
  <c r="EM79" i="1"/>
  <c r="EU80" i="1"/>
  <c r="EV80" i="1" s="1"/>
  <c r="FB80" i="1" s="1"/>
  <c r="G80" i="1"/>
  <c r="D80" i="1" s="1"/>
  <c r="EX80" i="1"/>
  <c r="EY80" i="1" s="1"/>
  <c r="E80" i="1"/>
  <c r="EP80" i="1"/>
  <c r="EM80" i="1"/>
  <c r="ES80" i="1" s="1"/>
  <c r="EZ80" i="1" s="1"/>
  <c r="FA80" i="1" s="1"/>
  <c r="EU81" i="1"/>
  <c r="G81" i="1"/>
  <c r="D81" i="1" s="1"/>
  <c r="EX81" i="1"/>
  <c r="EY81" i="1" s="1"/>
  <c r="E81" i="1"/>
  <c r="EP81" i="1"/>
  <c r="EM81" i="1"/>
  <c r="ES81" i="1" s="1"/>
  <c r="EZ81" i="1" s="1"/>
  <c r="FA81" i="1" s="1"/>
  <c r="EU82" i="1"/>
  <c r="EV82" i="1" s="1"/>
  <c r="FB82" i="1" s="1"/>
  <c r="G82" i="1"/>
  <c r="D82" i="1" s="1"/>
  <c r="EX82" i="1"/>
  <c r="EY82" i="1" s="1"/>
  <c r="E82" i="1"/>
  <c r="EP82" i="1"/>
  <c r="EM82" i="1"/>
  <c r="ES82" i="1" s="1"/>
  <c r="EZ82" i="1" s="1"/>
  <c r="FA82" i="1" s="1"/>
  <c r="EU83" i="1"/>
  <c r="G83" i="1"/>
  <c r="D83" i="1" s="1"/>
  <c r="EV83" i="1" s="1"/>
  <c r="EX83" i="1"/>
  <c r="EY83" i="1" s="1"/>
  <c r="E83" i="1"/>
  <c r="EP83" i="1"/>
  <c r="ES83" i="1" s="1"/>
  <c r="EZ83" i="1" s="1"/>
  <c r="FA83" i="1" s="1"/>
  <c r="EM83" i="1"/>
  <c r="EU84" i="1"/>
  <c r="EV84" i="1" s="1"/>
  <c r="FB84" i="1" s="1"/>
  <c r="G84" i="1"/>
  <c r="D84" i="1" s="1"/>
  <c r="EX84" i="1"/>
  <c r="EY84" i="1" s="1"/>
  <c r="E84" i="1"/>
  <c r="EP84" i="1"/>
  <c r="EM84" i="1"/>
  <c r="ES84" i="1" s="1"/>
  <c r="EZ84" i="1" s="1"/>
  <c r="FA84" i="1" s="1"/>
  <c r="EU85" i="1"/>
  <c r="EV85" i="1" s="1"/>
  <c r="EX85" i="1"/>
  <c r="EY85" i="1" s="1"/>
  <c r="EP85" i="1"/>
  <c r="ES85" i="1" s="1"/>
  <c r="EZ85" i="1" s="1"/>
  <c r="FA85" i="1" s="1"/>
  <c r="EM85" i="1"/>
  <c r="EU86" i="1"/>
  <c r="G86" i="1"/>
  <c r="D86" i="1" s="1"/>
  <c r="EX86" i="1"/>
  <c r="E86" i="1"/>
  <c r="EY86" i="1" s="1"/>
  <c r="FA86" i="1"/>
  <c r="EU87" i="1"/>
  <c r="G87" i="1"/>
  <c r="D87" i="1" s="1"/>
  <c r="EX87" i="1"/>
  <c r="EY87" i="1" s="1"/>
  <c r="E87" i="1"/>
  <c r="EP87" i="1"/>
  <c r="EM87" i="1"/>
  <c r="ES87" i="1" s="1"/>
  <c r="EZ87" i="1" s="1"/>
  <c r="FA87" i="1" s="1"/>
  <c r="EU88" i="1"/>
  <c r="G88" i="1"/>
  <c r="D88" i="1" s="1"/>
  <c r="EV88" i="1" s="1"/>
  <c r="EX88" i="1"/>
  <c r="EY88" i="1" s="1"/>
  <c r="E88" i="1"/>
  <c r="EP88" i="1"/>
  <c r="ES88" i="1" s="1"/>
  <c r="EZ88" i="1" s="1"/>
  <c r="FA88" i="1" s="1"/>
  <c r="EM88" i="1"/>
  <c r="EU89" i="1"/>
  <c r="G89" i="1"/>
  <c r="D89" i="1"/>
  <c r="EV89" i="1" s="1"/>
  <c r="EX89" i="1"/>
  <c r="E89" i="1"/>
  <c r="EY89" i="1"/>
  <c r="EP89" i="1"/>
  <c r="ES89" i="1" s="1"/>
  <c r="EZ89" i="1" s="1"/>
  <c r="FA89" i="1" s="1"/>
  <c r="EM89" i="1"/>
  <c r="EU90" i="1"/>
  <c r="G90" i="1"/>
  <c r="D90" i="1" s="1"/>
  <c r="EV90" i="1" s="1"/>
  <c r="FB90" i="1" s="1"/>
  <c r="EX90" i="1"/>
  <c r="EY90" i="1" s="1"/>
  <c r="E90" i="1"/>
  <c r="EP90" i="1"/>
  <c r="EM90" i="1"/>
  <c r="ES90" i="1"/>
  <c r="EZ90" i="1" s="1"/>
  <c r="FA90" i="1" s="1"/>
  <c r="EU91" i="1"/>
  <c r="EV91" i="1" s="1"/>
  <c r="G91" i="1"/>
  <c r="D91" i="1"/>
  <c r="EX91" i="1"/>
  <c r="EY91" i="1" s="1"/>
  <c r="E91" i="1"/>
  <c r="EP91" i="1"/>
  <c r="EM91" i="1"/>
  <c r="ES91" i="1" s="1"/>
  <c r="EZ91" i="1" s="1"/>
  <c r="FA91" i="1" s="1"/>
  <c r="EU92" i="1"/>
  <c r="G92" i="1"/>
  <c r="D92" i="1" s="1"/>
  <c r="EV92" i="1" s="1"/>
  <c r="EX92" i="1"/>
  <c r="EY92" i="1" s="1"/>
  <c r="E92" i="1"/>
  <c r="EP92" i="1"/>
  <c r="EM92" i="1"/>
  <c r="ES92" i="1"/>
  <c r="EZ92" i="1" s="1"/>
  <c r="FA92" i="1" s="1"/>
  <c r="EU93" i="1"/>
  <c r="EV93" i="1" s="1"/>
  <c r="FB93" i="1" s="1"/>
  <c r="G93" i="1"/>
  <c r="D93" i="1"/>
  <c r="EX93" i="1"/>
  <c r="EY93" i="1" s="1"/>
  <c r="E93" i="1"/>
  <c r="EP93" i="1"/>
  <c r="EM93" i="1"/>
  <c r="ES93" i="1" s="1"/>
  <c r="EZ93" i="1" s="1"/>
  <c r="FA93" i="1" s="1"/>
  <c r="EU94" i="1"/>
  <c r="G94" i="1"/>
  <c r="D94" i="1"/>
  <c r="EV94" i="1"/>
  <c r="EX94" i="1"/>
  <c r="EY94" i="1" s="1"/>
  <c r="E94" i="1"/>
  <c r="EP94" i="1"/>
  <c r="ES94" i="1" s="1"/>
  <c r="EZ94" i="1" s="1"/>
  <c r="FA94" i="1" s="1"/>
  <c r="EM94" i="1"/>
  <c r="EU95" i="1"/>
  <c r="G95" i="1"/>
  <c r="D95" i="1"/>
  <c r="EV95" i="1"/>
  <c r="EX95" i="1"/>
  <c r="E95" i="1"/>
  <c r="EY95" i="1"/>
  <c r="EP95" i="1"/>
  <c r="ES95" i="1" s="1"/>
  <c r="EZ95" i="1" s="1"/>
  <c r="FA95" i="1" s="1"/>
  <c r="EM95" i="1"/>
  <c r="EU96" i="1"/>
  <c r="EV96" i="1" s="1"/>
  <c r="G96" i="1"/>
  <c r="D96" i="1"/>
  <c r="EX96" i="1"/>
  <c r="E96" i="1"/>
  <c r="EY96" i="1"/>
  <c r="EP96" i="1"/>
  <c r="EM96" i="1"/>
  <c r="ES96" i="1"/>
  <c r="EZ96" i="1"/>
  <c r="FA96" i="1" s="1"/>
  <c r="EU97" i="1"/>
  <c r="EV97" i="1" s="1"/>
  <c r="FB97" i="1" s="1"/>
  <c r="G97" i="1"/>
  <c r="D97" i="1" s="1"/>
  <c r="EX97" i="1"/>
  <c r="EY97" i="1" s="1"/>
  <c r="E97" i="1"/>
  <c r="EP97" i="1"/>
  <c r="EM97" i="1"/>
  <c r="ES97" i="1"/>
  <c r="EZ97" i="1" s="1"/>
  <c r="FA97" i="1" s="1"/>
  <c r="EU98" i="1"/>
  <c r="EV98" i="1" s="1"/>
  <c r="FB98" i="1" s="1"/>
  <c r="EX98" i="1"/>
  <c r="EY98" i="1"/>
  <c r="EP98" i="1"/>
  <c r="ES98" i="1" s="1"/>
  <c r="EZ98" i="1" s="1"/>
  <c r="FA98" i="1" s="1"/>
  <c r="EM98" i="1"/>
  <c r="EU99" i="1"/>
  <c r="EV99" i="1"/>
  <c r="EX99" i="1"/>
  <c r="EY99" i="1" s="1"/>
  <c r="EP99" i="1"/>
  <c r="EM99" i="1"/>
  <c r="ES99" i="1"/>
  <c r="EZ99" i="1" s="1"/>
  <c r="FA99" i="1" s="1"/>
  <c r="EU100" i="1"/>
  <c r="EV100" i="1" s="1"/>
  <c r="EX100" i="1"/>
  <c r="EY100" i="1"/>
  <c r="EP100" i="1"/>
  <c r="ES100" i="1" s="1"/>
  <c r="EZ100" i="1" s="1"/>
  <c r="FA100" i="1" s="1"/>
  <c r="EM100" i="1"/>
  <c r="EU101" i="1"/>
  <c r="EV101" i="1" s="1"/>
  <c r="FB101" i="1" s="1"/>
  <c r="G101" i="1"/>
  <c r="D101" i="1"/>
  <c r="EX101" i="1"/>
  <c r="E101" i="1"/>
  <c r="EY101" i="1"/>
  <c r="EP101" i="1"/>
  <c r="EM101" i="1"/>
  <c r="ES101" i="1"/>
  <c r="EZ101" i="1"/>
  <c r="FA101" i="1" s="1"/>
  <c r="EU102" i="1"/>
  <c r="EV102" i="1" s="1"/>
  <c r="G102" i="1"/>
  <c r="D102" i="1" s="1"/>
  <c r="EX102" i="1"/>
  <c r="EY102" i="1" s="1"/>
  <c r="E102" i="1"/>
  <c r="EP102" i="1"/>
  <c r="EM102" i="1"/>
  <c r="ES102" i="1"/>
  <c r="EZ102" i="1" s="1"/>
  <c r="FA102" i="1" s="1"/>
  <c r="EU103" i="1"/>
  <c r="EV103" i="1" s="1"/>
  <c r="G103" i="1"/>
  <c r="D103" i="1" s="1"/>
  <c r="EX103" i="1"/>
  <c r="EY103" i="1" s="1"/>
  <c r="E103" i="1"/>
  <c r="EP103" i="1"/>
  <c r="ES103" i="1" s="1"/>
  <c r="EZ103" i="1" s="1"/>
  <c r="FA103" i="1" s="1"/>
  <c r="EM103" i="1"/>
  <c r="EU104" i="1"/>
  <c r="G104" i="1"/>
  <c r="D104" i="1"/>
  <c r="EV104" i="1"/>
  <c r="EX104" i="1"/>
  <c r="E104" i="1"/>
  <c r="EY104" i="1"/>
  <c r="EP104" i="1"/>
  <c r="ES104" i="1" s="1"/>
  <c r="EZ104" i="1" s="1"/>
  <c r="FA104" i="1" s="1"/>
  <c r="EM104" i="1"/>
  <c r="EU105" i="1"/>
  <c r="EV105" i="1" s="1"/>
  <c r="G105" i="1"/>
  <c r="D105" i="1"/>
  <c r="EX105" i="1"/>
  <c r="E105" i="1"/>
  <c r="EY105" i="1"/>
  <c r="EP105" i="1"/>
  <c r="EM105" i="1"/>
  <c r="ES105" i="1"/>
  <c r="EZ105" i="1"/>
  <c r="FA105" i="1" s="1"/>
  <c r="EU106" i="1"/>
  <c r="EV106" i="1" s="1"/>
  <c r="G106" i="1"/>
  <c r="D106" i="1" s="1"/>
  <c r="EX106" i="1"/>
  <c r="EY106" i="1" s="1"/>
  <c r="E106" i="1"/>
  <c r="EP106" i="1"/>
  <c r="EM106" i="1"/>
  <c r="ES106" i="1"/>
  <c r="EZ106" i="1" s="1"/>
  <c r="FA106" i="1" s="1"/>
  <c r="EU107" i="1"/>
  <c r="EV107" i="1" s="1"/>
  <c r="G107" i="1"/>
  <c r="D107" i="1" s="1"/>
  <c r="EX107" i="1"/>
  <c r="EY107" i="1" s="1"/>
  <c r="EY109" i="1" s="1"/>
  <c r="E107" i="1"/>
  <c r="EP107" i="1"/>
  <c r="ES107" i="1" s="1"/>
  <c r="EZ107" i="1" s="1"/>
  <c r="FA107" i="1" s="1"/>
  <c r="EM107" i="1"/>
  <c r="EU2" i="1"/>
  <c r="G2" i="1"/>
  <c r="D2" i="1"/>
  <c r="EV2" i="1"/>
  <c r="EX2" i="1"/>
  <c r="E2" i="1"/>
  <c r="EY2" i="1"/>
  <c r="EP2" i="1"/>
  <c r="EM2" i="1"/>
  <c r="ES2" i="1"/>
  <c r="EZ2" i="1"/>
  <c r="FA2" i="1" s="1"/>
  <c r="EJ3" i="1"/>
  <c r="EK3" i="1"/>
  <c r="ER3" i="1" s="1"/>
  <c r="EN3" i="1"/>
  <c r="EQ3" i="1"/>
  <c r="EJ4" i="1"/>
  <c r="EK4" i="1" s="1"/>
  <c r="ER4" i="1" s="1"/>
  <c r="EN4" i="1"/>
  <c r="EQ4" i="1"/>
  <c r="EJ5" i="1"/>
  <c r="EK5" i="1"/>
  <c r="ER5" i="1" s="1"/>
  <c r="EN5" i="1"/>
  <c r="EQ5" i="1"/>
  <c r="EJ6" i="1"/>
  <c r="EK6" i="1" s="1"/>
  <c r="ER6" i="1" s="1"/>
  <c r="EN6" i="1"/>
  <c r="EQ6" i="1"/>
  <c r="EJ7" i="1"/>
  <c r="EK7" i="1"/>
  <c r="ER7" i="1" s="1"/>
  <c r="EN7" i="1"/>
  <c r="EQ7" i="1"/>
  <c r="EJ8" i="1"/>
  <c r="EK8" i="1" s="1"/>
  <c r="ER8" i="1" s="1"/>
  <c r="EN8" i="1"/>
  <c r="EQ8" i="1"/>
  <c r="EJ9" i="1"/>
  <c r="EK9" i="1"/>
  <c r="ER9" i="1" s="1"/>
  <c r="EN9" i="1"/>
  <c r="EQ9" i="1"/>
  <c r="EJ10" i="1"/>
  <c r="EK10" i="1" s="1"/>
  <c r="ER10" i="1" s="1"/>
  <c r="EN10" i="1"/>
  <c r="EQ10" i="1"/>
  <c r="EI11" i="1"/>
  <c r="EJ11" i="1"/>
  <c r="EK11" i="1" s="1"/>
  <c r="ER11" i="1" s="1"/>
  <c r="EN11" i="1"/>
  <c r="EQ11" i="1"/>
  <c r="EJ12" i="1"/>
  <c r="EK12" i="1"/>
  <c r="ER12" i="1" s="1"/>
  <c r="EN12" i="1"/>
  <c r="EQ12" i="1"/>
  <c r="EJ13" i="1"/>
  <c r="EK13" i="1" s="1"/>
  <c r="ER13" i="1" s="1"/>
  <c r="EN13" i="1"/>
  <c r="EQ13" i="1"/>
  <c r="EJ14" i="1"/>
  <c r="EK14" i="1"/>
  <c r="ER14" i="1" s="1"/>
  <c r="EN14" i="1"/>
  <c r="EQ14" i="1"/>
  <c r="EJ15" i="1"/>
  <c r="EK15" i="1" s="1"/>
  <c r="ER15" i="1" s="1"/>
  <c r="EN15" i="1"/>
  <c r="EQ15" i="1"/>
  <c r="EJ16" i="1"/>
  <c r="EK16" i="1"/>
  <c r="ER16" i="1" s="1"/>
  <c r="EN16" i="1"/>
  <c r="EQ16" i="1"/>
  <c r="EJ17" i="1"/>
  <c r="EK17" i="1" s="1"/>
  <c r="ER17" i="1" s="1"/>
  <c r="EN17" i="1"/>
  <c r="EQ17" i="1"/>
  <c r="EJ18" i="1"/>
  <c r="EK18" i="1"/>
  <c r="ER18" i="1" s="1"/>
  <c r="EN18" i="1"/>
  <c r="EQ18" i="1"/>
  <c r="EJ19" i="1"/>
  <c r="EK19" i="1" s="1"/>
  <c r="ER19" i="1" s="1"/>
  <c r="EN19" i="1"/>
  <c r="EQ19" i="1"/>
  <c r="EJ20" i="1"/>
  <c r="EK20" i="1"/>
  <c r="ER20" i="1" s="1"/>
  <c r="EN20" i="1"/>
  <c r="EQ20" i="1"/>
  <c r="EJ21" i="1"/>
  <c r="EK21" i="1" s="1"/>
  <c r="ER21" i="1" s="1"/>
  <c r="EN21" i="1"/>
  <c r="EQ21" i="1"/>
  <c r="EJ22" i="1"/>
  <c r="EK22" i="1"/>
  <c r="ER22" i="1" s="1"/>
  <c r="EN22" i="1"/>
  <c r="EQ22" i="1"/>
  <c r="EJ23" i="1"/>
  <c r="EK23" i="1" s="1"/>
  <c r="ER23" i="1" s="1"/>
  <c r="EN23" i="1"/>
  <c r="EQ23" i="1"/>
  <c r="EJ24" i="1"/>
  <c r="EK24" i="1"/>
  <c r="ER24" i="1" s="1"/>
  <c r="EN24" i="1"/>
  <c r="EQ24" i="1"/>
  <c r="EJ25" i="1"/>
  <c r="EK25" i="1" s="1"/>
  <c r="ER25" i="1" s="1"/>
  <c r="EN25" i="1"/>
  <c r="EQ25" i="1"/>
  <c r="EJ26" i="1"/>
  <c r="EK26" i="1"/>
  <c r="ER26" i="1" s="1"/>
  <c r="EN26" i="1"/>
  <c r="EQ26" i="1"/>
  <c r="EJ27" i="1"/>
  <c r="EK27" i="1" s="1"/>
  <c r="ER27" i="1" s="1"/>
  <c r="EN27" i="1"/>
  <c r="EQ27" i="1"/>
  <c r="EJ28" i="1"/>
  <c r="EK28" i="1"/>
  <c r="ER28" i="1" s="1"/>
  <c r="EN28" i="1"/>
  <c r="EQ28" i="1"/>
  <c r="EJ29" i="1"/>
  <c r="EK29" i="1" s="1"/>
  <c r="ER29" i="1" s="1"/>
  <c r="EN29" i="1"/>
  <c r="EQ29" i="1"/>
  <c r="EJ30" i="1"/>
  <c r="EK30" i="1"/>
  <c r="ER30" i="1" s="1"/>
  <c r="EN30" i="1"/>
  <c r="EQ30" i="1"/>
  <c r="EJ31" i="1"/>
  <c r="EK31" i="1" s="1"/>
  <c r="ER31" i="1" s="1"/>
  <c r="EN31" i="1"/>
  <c r="EQ31" i="1"/>
  <c r="EJ32" i="1"/>
  <c r="EK32" i="1"/>
  <c r="ER32" i="1" s="1"/>
  <c r="EN32" i="1"/>
  <c r="EQ32" i="1"/>
  <c r="EJ33" i="1"/>
  <c r="EK33" i="1" s="1"/>
  <c r="ER33" i="1" s="1"/>
  <c r="EN33" i="1"/>
  <c r="EQ33" i="1"/>
  <c r="EJ34" i="1"/>
  <c r="EK34" i="1"/>
  <c r="ER34" i="1" s="1"/>
  <c r="EN34" i="1"/>
  <c r="EQ34" i="1"/>
  <c r="EJ35" i="1"/>
  <c r="EK35" i="1" s="1"/>
  <c r="ER35" i="1" s="1"/>
  <c r="EN35" i="1"/>
  <c r="EQ35" i="1"/>
  <c r="EJ36" i="1"/>
  <c r="EK36" i="1"/>
  <c r="ER36" i="1" s="1"/>
  <c r="EN36" i="1"/>
  <c r="EQ36" i="1"/>
  <c r="EJ37" i="1"/>
  <c r="EK37" i="1" s="1"/>
  <c r="ER37" i="1" s="1"/>
  <c r="EN37" i="1"/>
  <c r="EQ37" i="1"/>
  <c r="EJ38" i="1"/>
  <c r="EK38" i="1"/>
  <c r="ER38" i="1" s="1"/>
  <c r="EN38" i="1"/>
  <c r="EQ38" i="1"/>
  <c r="EJ39" i="1"/>
  <c r="EK39" i="1" s="1"/>
  <c r="ER39" i="1" s="1"/>
  <c r="EN39" i="1"/>
  <c r="EQ39" i="1"/>
  <c r="EJ40" i="1"/>
  <c r="EK40" i="1"/>
  <c r="ER40" i="1" s="1"/>
  <c r="EN40" i="1"/>
  <c r="EQ40" i="1"/>
  <c r="EJ41" i="1"/>
  <c r="EK41" i="1" s="1"/>
  <c r="ER41" i="1" s="1"/>
  <c r="EN41" i="1"/>
  <c r="EQ41" i="1"/>
  <c r="EJ42" i="1"/>
  <c r="EK42" i="1"/>
  <c r="ER42" i="1" s="1"/>
  <c r="EN42" i="1"/>
  <c r="EQ42" i="1"/>
  <c r="EJ43" i="1"/>
  <c r="EK43" i="1" s="1"/>
  <c r="ER43" i="1" s="1"/>
  <c r="EN43" i="1"/>
  <c r="EQ43" i="1"/>
  <c r="EJ44" i="1"/>
  <c r="EK44" i="1"/>
  <c r="ER44" i="1" s="1"/>
  <c r="EN44" i="1"/>
  <c r="EQ44" i="1"/>
  <c r="EJ45" i="1"/>
  <c r="EK45" i="1" s="1"/>
  <c r="ER45" i="1" s="1"/>
  <c r="EN45" i="1"/>
  <c r="EQ45" i="1"/>
  <c r="EJ46" i="1"/>
  <c r="EK46" i="1"/>
  <c r="ER46" i="1" s="1"/>
  <c r="EN46" i="1"/>
  <c r="EQ46" i="1"/>
  <c r="EJ47" i="1"/>
  <c r="EK47" i="1" s="1"/>
  <c r="ER47" i="1" s="1"/>
  <c r="EN47" i="1"/>
  <c r="EQ47" i="1"/>
  <c r="EJ48" i="1"/>
  <c r="EK48" i="1"/>
  <c r="ER48" i="1" s="1"/>
  <c r="EN48" i="1"/>
  <c r="EQ48" i="1"/>
  <c r="EJ49" i="1"/>
  <c r="EK49" i="1" s="1"/>
  <c r="ER49" i="1" s="1"/>
  <c r="EN49" i="1"/>
  <c r="EQ49" i="1"/>
  <c r="EJ50" i="1"/>
  <c r="EK50" i="1"/>
  <c r="ER50" i="1" s="1"/>
  <c r="EN50" i="1"/>
  <c r="EQ50" i="1"/>
  <c r="EJ51" i="1"/>
  <c r="EK51" i="1" s="1"/>
  <c r="ER51" i="1" s="1"/>
  <c r="EN51" i="1"/>
  <c r="EQ51" i="1"/>
  <c r="EJ52" i="1"/>
  <c r="EK52" i="1"/>
  <c r="ER52" i="1" s="1"/>
  <c r="EN52" i="1"/>
  <c r="EQ52" i="1"/>
  <c r="EJ53" i="1"/>
  <c r="EK53" i="1" s="1"/>
  <c r="ER53" i="1" s="1"/>
  <c r="EN53" i="1"/>
  <c r="EQ53" i="1"/>
  <c r="EJ54" i="1"/>
  <c r="EK54" i="1"/>
  <c r="ER54" i="1" s="1"/>
  <c r="EN54" i="1"/>
  <c r="EQ54" i="1"/>
  <c r="EJ55" i="1"/>
  <c r="EK55" i="1" s="1"/>
  <c r="EM55" i="1"/>
  <c r="EN55" i="1" s="1"/>
  <c r="EP55" i="1"/>
  <c r="EQ55" i="1" s="1"/>
  <c r="EJ56" i="1"/>
  <c r="EK56" i="1"/>
  <c r="ER56" i="1" s="1"/>
  <c r="EN56" i="1"/>
  <c r="EQ56" i="1"/>
  <c r="EJ57" i="1"/>
  <c r="EK57" i="1" s="1"/>
  <c r="ER57" i="1" s="1"/>
  <c r="EN57" i="1"/>
  <c r="EQ57" i="1"/>
  <c r="EJ58" i="1"/>
  <c r="EK58" i="1"/>
  <c r="ER58" i="1" s="1"/>
  <c r="EN58" i="1"/>
  <c r="EQ58" i="1"/>
  <c r="EJ59" i="1"/>
  <c r="EK59" i="1" s="1"/>
  <c r="ER59" i="1" s="1"/>
  <c r="EN59" i="1"/>
  <c r="EQ59" i="1"/>
  <c r="EJ60" i="1"/>
  <c r="EK60" i="1"/>
  <c r="ER60" i="1" s="1"/>
  <c r="EN60" i="1"/>
  <c r="EQ60" i="1"/>
  <c r="EJ61" i="1"/>
  <c r="EK61" i="1" s="1"/>
  <c r="ER61" i="1" s="1"/>
  <c r="EN61" i="1"/>
  <c r="EQ61" i="1"/>
  <c r="EJ62" i="1"/>
  <c r="EK62" i="1"/>
  <c r="ER62" i="1" s="1"/>
  <c r="EN62" i="1"/>
  <c r="EQ62" i="1"/>
  <c r="EJ63" i="1"/>
  <c r="EK63" i="1" s="1"/>
  <c r="ER63" i="1" s="1"/>
  <c r="EN63" i="1"/>
  <c r="EQ63" i="1"/>
  <c r="EJ64" i="1"/>
  <c r="EK64" i="1"/>
  <c r="ER64" i="1" s="1"/>
  <c r="EN64" i="1"/>
  <c r="EQ64" i="1"/>
  <c r="EJ65" i="1"/>
  <c r="EK65" i="1" s="1"/>
  <c r="ER65" i="1" s="1"/>
  <c r="EN65" i="1"/>
  <c r="EQ65" i="1"/>
  <c r="EJ66" i="1"/>
  <c r="EK66" i="1"/>
  <c r="ER66" i="1" s="1"/>
  <c r="EN66" i="1"/>
  <c r="EQ66" i="1"/>
  <c r="EJ67" i="1"/>
  <c r="EK67" i="1" s="1"/>
  <c r="ER67" i="1" s="1"/>
  <c r="EN67" i="1"/>
  <c r="EQ67" i="1"/>
  <c r="EJ68" i="1"/>
  <c r="EK68" i="1"/>
  <c r="ER68" i="1" s="1"/>
  <c r="EN68" i="1"/>
  <c r="EQ68" i="1"/>
  <c r="EJ69" i="1"/>
  <c r="EK69" i="1" s="1"/>
  <c r="ER69" i="1" s="1"/>
  <c r="EN69" i="1"/>
  <c r="EQ69" i="1"/>
  <c r="EJ70" i="1"/>
  <c r="EK70" i="1"/>
  <c r="ER70" i="1" s="1"/>
  <c r="EN70" i="1"/>
  <c r="EQ70" i="1"/>
  <c r="EJ71" i="1"/>
  <c r="EK71" i="1" s="1"/>
  <c r="ER71" i="1" s="1"/>
  <c r="EN71" i="1"/>
  <c r="EQ71" i="1"/>
  <c r="EJ72" i="1"/>
  <c r="EK72" i="1"/>
  <c r="ER72" i="1" s="1"/>
  <c r="EN72" i="1"/>
  <c r="EQ72" i="1"/>
  <c r="EJ73" i="1"/>
  <c r="EK73" i="1" s="1"/>
  <c r="ER73" i="1" s="1"/>
  <c r="EN73" i="1"/>
  <c r="EQ73" i="1"/>
  <c r="EJ74" i="1"/>
  <c r="EK74" i="1"/>
  <c r="ER74" i="1" s="1"/>
  <c r="EN74" i="1"/>
  <c r="EQ74" i="1"/>
  <c r="EJ75" i="1"/>
  <c r="EK75" i="1" s="1"/>
  <c r="ER75" i="1" s="1"/>
  <c r="EN75" i="1"/>
  <c r="EQ75" i="1"/>
  <c r="EJ76" i="1"/>
  <c r="EK76" i="1"/>
  <c r="ER76" i="1" s="1"/>
  <c r="EN76" i="1"/>
  <c r="EQ76" i="1"/>
  <c r="EJ77" i="1"/>
  <c r="EK77" i="1" s="1"/>
  <c r="ER77" i="1" s="1"/>
  <c r="EN77" i="1"/>
  <c r="EQ77" i="1"/>
  <c r="EJ78" i="1"/>
  <c r="EK78" i="1"/>
  <c r="ER78" i="1" s="1"/>
  <c r="EN78" i="1"/>
  <c r="EQ78" i="1"/>
  <c r="EJ79" i="1"/>
  <c r="EK79" i="1" s="1"/>
  <c r="ER79" i="1" s="1"/>
  <c r="EN79" i="1"/>
  <c r="EQ79" i="1"/>
  <c r="EJ80" i="1"/>
  <c r="EK80" i="1"/>
  <c r="EN80" i="1"/>
  <c r="EQ80" i="1"/>
  <c r="EJ81" i="1"/>
  <c r="EK81" i="1" s="1"/>
  <c r="ER81" i="1" s="1"/>
  <c r="EN81" i="1"/>
  <c r="EQ81" i="1"/>
  <c r="EJ82" i="1"/>
  <c r="EK82" i="1"/>
  <c r="EN82" i="1"/>
  <c r="EQ82" i="1"/>
  <c r="EJ83" i="1"/>
  <c r="EK83" i="1" s="1"/>
  <c r="ER83" i="1" s="1"/>
  <c r="EN83" i="1"/>
  <c r="EQ83" i="1"/>
  <c r="EJ84" i="1"/>
  <c r="EK84" i="1"/>
  <c r="EN84" i="1"/>
  <c r="EQ84" i="1"/>
  <c r="EJ85" i="1"/>
  <c r="EK85" i="1" s="1"/>
  <c r="ER85" i="1" s="1"/>
  <c r="EN85" i="1"/>
  <c r="EQ85" i="1"/>
  <c r="EJ86" i="1"/>
  <c r="EK86" i="1"/>
  <c r="EM86" i="1"/>
  <c r="EN86" i="1"/>
  <c r="EP86" i="1"/>
  <c r="EQ86" i="1"/>
  <c r="EJ87" i="1"/>
  <c r="EK87" i="1" s="1"/>
  <c r="ER87" i="1" s="1"/>
  <c r="EN87" i="1"/>
  <c r="EQ87" i="1"/>
  <c r="EJ88" i="1"/>
  <c r="EK88" i="1"/>
  <c r="ER88" i="1" s="1"/>
  <c r="EN88" i="1"/>
  <c r="EQ88" i="1"/>
  <c r="EJ89" i="1"/>
  <c r="EK89" i="1" s="1"/>
  <c r="ER89" i="1" s="1"/>
  <c r="EN89" i="1"/>
  <c r="EQ89" i="1"/>
  <c r="EJ90" i="1"/>
  <c r="EK90" i="1"/>
  <c r="ER90" i="1" s="1"/>
  <c r="EN90" i="1"/>
  <c r="EQ90" i="1"/>
  <c r="EJ91" i="1"/>
  <c r="EK91" i="1" s="1"/>
  <c r="ER91" i="1" s="1"/>
  <c r="EN91" i="1"/>
  <c r="EQ91" i="1"/>
  <c r="EJ92" i="1"/>
  <c r="EK92" i="1"/>
  <c r="ER92" i="1" s="1"/>
  <c r="EN92" i="1"/>
  <c r="EQ92" i="1"/>
  <c r="EJ93" i="1"/>
  <c r="EK93" i="1" s="1"/>
  <c r="ER93" i="1" s="1"/>
  <c r="EN93" i="1"/>
  <c r="EQ93" i="1"/>
  <c r="EJ94" i="1"/>
  <c r="EK94" i="1"/>
  <c r="ER94" i="1" s="1"/>
  <c r="EN94" i="1"/>
  <c r="EQ94" i="1"/>
  <c r="EJ95" i="1"/>
  <c r="EK95" i="1" s="1"/>
  <c r="ER95" i="1" s="1"/>
  <c r="EN95" i="1"/>
  <c r="EQ95" i="1"/>
  <c r="EJ96" i="1"/>
  <c r="EK96" i="1"/>
  <c r="ER96" i="1" s="1"/>
  <c r="EN96" i="1"/>
  <c r="EQ96" i="1"/>
  <c r="EJ97" i="1"/>
  <c r="EK97" i="1" s="1"/>
  <c r="EN97" i="1"/>
  <c r="EQ97" i="1"/>
  <c r="ER97" i="1"/>
  <c r="EJ98" i="1"/>
  <c r="EK98" i="1" s="1"/>
  <c r="EN98" i="1"/>
  <c r="EQ98" i="1"/>
  <c r="EJ99" i="1"/>
  <c r="EK99" i="1" s="1"/>
  <c r="EN99" i="1"/>
  <c r="EQ99" i="1"/>
  <c r="ER99" i="1" s="1"/>
  <c r="EJ100" i="1"/>
  <c r="EK100" i="1"/>
  <c r="EN100" i="1"/>
  <c r="EQ100" i="1"/>
  <c r="EJ101" i="1"/>
  <c r="EK101" i="1"/>
  <c r="EN101" i="1"/>
  <c r="EQ101" i="1"/>
  <c r="EJ102" i="1"/>
  <c r="EK102" i="1"/>
  <c r="ER102" i="1" s="1"/>
  <c r="EN102" i="1"/>
  <c r="EQ102" i="1"/>
  <c r="EJ103" i="1"/>
  <c r="EK103" i="1" s="1"/>
  <c r="ER103" i="1" s="1"/>
  <c r="EN103" i="1"/>
  <c r="EQ103" i="1"/>
  <c r="EJ104" i="1"/>
  <c r="EK104" i="1"/>
  <c r="ER104" i="1" s="1"/>
  <c r="EN104" i="1"/>
  <c r="EQ104" i="1"/>
  <c r="EJ105" i="1"/>
  <c r="EK105" i="1" s="1"/>
  <c r="ER105" i="1" s="1"/>
  <c r="EN105" i="1"/>
  <c r="EQ105" i="1"/>
  <c r="EJ106" i="1"/>
  <c r="EK106" i="1" s="1"/>
  <c r="ER106" i="1" s="1"/>
  <c r="EN106" i="1"/>
  <c r="EQ106" i="1"/>
  <c r="EJ107" i="1"/>
  <c r="EK107" i="1" s="1"/>
  <c r="EN107" i="1"/>
  <c r="EQ107" i="1"/>
  <c r="EJ2" i="1"/>
  <c r="EK2" i="1"/>
  <c r="EK108" i="1"/>
  <c r="EN2" i="1"/>
  <c r="EQ2" i="1"/>
  <c r="EN109" i="1"/>
  <c r="DA2" i="1"/>
  <c r="DB2" i="1" s="1"/>
  <c r="DC2" i="1" s="1"/>
  <c r="CQ2" i="1"/>
  <c r="DA107" i="1"/>
  <c r="DB107" i="1"/>
  <c r="DC107" i="1" s="1"/>
  <c r="CQ107" i="1"/>
  <c r="DA3" i="1"/>
  <c r="DB3" i="1"/>
  <c r="DC3" i="1" s="1"/>
  <c r="CQ3" i="1"/>
  <c r="DA4" i="1"/>
  <c r="DB4" i="1"/>
  <c r="DC4" i="1" s="1"/>
  <c r="CQ4" i="1"/>
  <c r="DA5" i="1"/>
  <c r="DB5" i="1"/>
  <c r="DC5" i="1" s="1"/>
  <c r="CQ5" i="1"/>
  <c r="DA6" i="1"/>
  <c r="DB6" i="1"/>
  <c r="DC6" i="1" s="1"/>
  <c r="CQ6" i="1"/>
  <c r="DA7" i="1"/>
  <c r="DB7" i="1"/>
  <c r="DC7" i="1" s="1"/>
  <c r="CQ7" i="1"/>
  <c r="DA8" i="1"/>
  <c r="DB8" i="1"/>
  <c r="DC8" i="1" s="1"/>
  <c r="CQ8" i="1"/>
  <c r="DA9" i="1"/>
  <c r="DB9" i="1"/>
  <c r="DC9" i="1" s="1"/>
  <c r="CQ9" i="1"/>
  <c r="DA10" i="1"/>
  <c r="DB10" i="1"/>
  <c r="DC10" i="1" s="1"/>
  <c r="CQ10" i="1"/>
  <c r="DA11" i="1"/>
  <c r="DB11" i="1"/>
  <c r="DC11" i="1" s="1"/>
  <c r="CQ11" i="1"/>
  <c r="DA12" i="1"/>
  <c r="DB12" i="1"/>
  <c r="DC12" i="1" s="1"/>
  <c r="CQ12" i="1"/>
  <c r="DA13" i="1"/>
  <c r="DB13" i="1"/>
  <c r="DC13" i="1" s="1"/>
  <c r="CQ13" i="1"/>
  <c r="DA14" i="1"/>
  <c r="DB14" i="1"/>
  <c r="DC14" i="1" s="1"/>
  <c r="CQ14" i="1"/>
  <c r="DA15" i="1"/>
  <c r="DB15" i="1"/>
  <c r="DC15" i="1" s="1"/>
  <c r="CQ15" i="1"/>
  <c r="DA16" i="1"/>
  <c r="DB16" i="1"/>
  <c r="DC16" i="1" s="1"/>
  <c r="CQ16" i="1"/>
  <c r="DA17" i="1"/>
  <c r="DB17" i="1"/>
  <c r="DC17" i="1" s="1"/>
  <c r="CQ17" i="1"/>
  <c r="DA18" i="1"/>
  <c r="DB18" i="1"/>
  <c r="DC18" i="1" s="1"/>
  <c r="CQ18" i="1"/>
  <c r="DA19" i="1"/>
  <c r="DB19" i="1"/>
  <c r="DC19" i="1" s="1"/>
  <c r="CQ19" i="1"/>
  <c r="DA20" i="1"/>
  <c r="DB20" i="1"/>
  <c r="DC20" i="1" s="1"/>
  <c r="CQ20" i="1"/>
  <c r="DA21" i="1"/>
  <c r="DB21" i="1"/>
  <c r="DC21" i="1" s="1"/>
  <c r="CQ21" i="1"/>
  <c r="DA22" i="1"/>
  <c r="DB22" i="1"/>
  <c r="DC22" i="1" s="1"/>
  <c r="CQ22" i="1"/>
  <c r="DA23" i="1"/>
  <c r="DB23" i="1"/>
  <c r="DC23" i="1" s="1"/>
  <c r="CQ23" i="1"/>
  <c r="DA24" i="1"/>
  <c r="DB24" i="1"/>
  <c r="DC24" i="1" s="1"/>
  <c r="CQ24" i="1"/>
  <c r="DA25" i="1"/>
  <c r="DB25" i="1"/>
  <c r="DC25" i="1" s="1"/>
  <c r="CQ25" i="1"/>
  <c r="DA26" i="1"/>
  <c r="DB26" i="1"/>
  <c r="DC26" i="1" s="1"/>
  <c r="CQ26" i="1"/>
  <c r="DA27" i="1"/>
  <c r="DB27" i="1"/>
  <c r="DC27" i="1" s="1"/>
  <c r="CQ27" i="1"/>
  <c r="DA28" i="1"/>
  <c r="DB28" i="1"/>
  <c r="DC28" i="1" s="1"/>
  <c r="CQ28" i="1"/>
  <c r="DA29" i="1"/>
  <c r="DB29" i="1"/>
  <c r="DC29" i="1" s="1"/>
  <c r="CQ29" i="1"/>
  <c r="DA30" i="1"/>
  <c r="DB30" i="1"/>
  <c r="DC30" i="1" s="1"/>
  <c r="CQ30" i="1"/>
  <c r="DA31" i="1"/>
  <c r="DB31" i="1"/>
  <c r="DC31" i="1" s="1"/>
  <c r="CQ31" i="1"/>
  <c r="DA32" i="1"/>
  <c r="DB32" i="1"/>
  <c r="DC32" i="1" s="1"/>
  <c r="CQ32" i="1"/>
  <c r="DA33" i="1"/>
  <c r="DB33" i="1"/>
  <c r="DC33" i="1" s="1"/>
  <c r="CQ33" i="1"/>
  <c r="DA34" i="1"/>
  <c r="DB34" i="1"/>
  <c r="DC34" i="1" s="1"/>
  <c r="CQ34" i="1"/>
  <c r="DA35" i="1"/>
  <c r="DB35" i="1"/>
  <c r="DC35" i="1" s="1"/>
  <c r="CQ35" i="1"/>
  <c r="DA36" i="1"/>
  <c r="DB36" i="1"/>
  <c r="DC36" i="1" s="1"/>
  <c r="CQ36" i="1"/>
  <c r="DA37" i="1"/>
  <c r="DB37" i="1"/>
  <c r="DC37" i="1" s="1"/>
  <c r="CQ37" i="1"/>
  <c r="DA38" i="1"/>
  <c r="DB38" i="1"/>
  <c r="DC38" i="1" s="1"/>
  <c r="CQ38" i="1"/>
  <c r="DA39" i="1"/>
  <c r="DB39" i="1"/>
  <c r="DC39" i="1" s="1"/>
  <c r="CQ39" i="1"/>
  <c r="DA40" i="1"/>
  <c r="DB40" i="1"/>
  <c r="DC40" i="1" s="1"/>
  <c r="CQ40" i="1"/>
  <c r="DA41" i="1"/>
  <c r="DB41" i="1"/>
  <c r="DC41" i="1" s="1"/>
  <c r="CQ41" i="1"/>
  <c r="DA42" i="1"/>
  <c r="DB42" i="1"/>
  <c r="DC42" i="1" s="1"/>
  <c r="CQ42" i="1"/>
  <c r="DA43" i="1"/>
  <c r="DB43" i="1"/>
  <c r="DC43" i="1" s="1"/>
  <c r="CQ43" i="1"/>
  <c r="DA44" i="1"/>
  <c r="DB44" i="1"/>
  <c r="DC44" i="1" s="1"/>
  <c r="CQ44" i="1"/>
  <c r="DA45" i="1"/>
  <c r="DB45" i="1"/>
  <c r="DC45" i="1" s="1"/>
  <c r="CQ45" i="1"/>
  <c r="DA46" i="1"/>
  <c r="DB46" i="1"/>
  <c r="DC46" i="1" s="1"/>
  <c r="CQ46" i="1"/>
  <c r="DA47" i="1"/>
  <c r="DB47" i="1"/>
  <c r="DC47" i="1" s="1"/>
  <c r="CQ47" i="1"/>
  <c r="DA48" i="1"/>
  <c r="DB48" i="1"/>
  <c r="DC48" i="1" s="1"/>
  <c r="CQ48" i="1"/>
  <c r="DA49" i="1"/>
  <c r="DB49" i="1"/>
  <c r="DC49" i="1" s="1"/>
  <c r="CQ49" i="1"/>
  <c r="DA50" i="1"/>
  <c r="DB50" i="1"/>
  <c r="DC50" i="1" s="1"/>
  <c r="CQ50" i="1"/>
  <c r="DB51" i="1"/>
  <c r="CQ51" i="1"/>
  <c r="DA52" i="1"/>
  <c r="DB52" i="1" s="1"/>
  <c r="DC52" i="1" s="1"/>
  <c r="CQ52" i="1"/>
  <c r="DA53" i="1"/>
  <c r="DB53" i="1"/>
  <c r="DC53" i="1" s="1"/>
  <c r="CQ53" i="1"/>
  <c r="DA54" i="1"/>
  <c r="DB54" i="1"/>
  <c r="CQ54" i="1"/>
  <c r="DA55" i="1"/>
  <c r="DB55" i="1"/>
  <c r="CQ55" i="1"/>
  <c r="DA56" i="1"/>
  <c r="DB56" i="1" s="1"/>
  <c r="DC56" i="1" s="1"/>
  <c r="CQ56" i="1"/>
  <c r="DA57" i="1"/>
  <c r="DB57" i="1"/>
  <c r="DC57" i="1" s="1"/>
  <c r="CQ57" i="1"/>
  <c r="DA58" i="1"/>
  <c r="DB58" i="1" s="1"/>
  <c r="DC58" i="1" s="1"/>
  <c r="CQ58" i="1"/>
  <c r="DA59" i="1"/>
  <c r="DB59" i="1" s="1"/>
  <c r="DC59" i="1" s="1"/>
  <c r="CQ59" i="1"/>
  <c r="DA60" i="1"/>
  <c r="DB60" i="1"/>
  <c r="DC60" i="1" s="1"/>
  <c r="CQ60" i="1"/>
  <c r="DA61" i="1"/>
  <c r="DB61" i="1"/>
  <c r="DC61" i="1" s="1"/>
  <c r="CQ61" i="1"/>
  <c r="DA62" i="1"/>
  <c r="DB62" i="1" s="1"/>
  <c r="DC62" i="1" s="1"/>
  <c r="CQ62" i="1"/>
  <c r="DA63" i="1"/>
  <c r="DB63" i="1" s="1"/>
  <c r="DC63" i="1" s="1"/>
  <c r="CQ63" i="1"/>
  <c r="DA64" i="1"/>
  <c r="DB64" i="1"/>
  <c r="DC64" i="1" s="1"/>
  <c r="CQ64" i="1"/>
  <c r="DA65" i="1"/>
  <c r="DB65" i="1"/>
  <c r="DC65" i="1" s="1"/>
  <c r="CQ65" i="1"/>
  <c r="DA66" i="1"/>
  <c r="DB66" i="1" s="1"/>
  <c r="DC66" i="1" s="1"/>
  <c r="CQ66" i="1"/>
  <c r="DA67" i="1"/>
  <c r="DB67" i="1" s="1"/>
  <c r="DC67" i="1" s="1"/>
  <c r="CQ67" i="1"/>
  <c r="DA68" i="1"/>
  <c r="DB68" i="1"/>
  <c r="DC68" i="1" s="1"/>
  <c r="CQ68" i="1"/>
  <c r="DA69" i="1"/>
  <c r="DB69" i="1"/>
  <c r="DC69" i="1" s="1"/>
  <c r="CQ69" i="1"/>
  <c r="DA70" i="1"/>
  <c r="DB70" i="1" s="1"/>
  <c r="DC70" i="1" s="1"/>
  <c r="CQ70" i="1"/>
  <c r="DA71" i="1"/>
  <c r="DB71" i="1" s="1"/>
  <c r="DC71" i="1" s="1"/>
  <c r="CQ71" i="1"/>
  <c r="DA72" i="1"/>
  <c r="DB72" i="1"/>
  <c r="DC72" i="1" s="1"/>
  <c r="CQ72" i="1"/>
  <c r="DA73" i="1"/>
  <c r="DB73" i="1"/>
  <c r="DC73" i="1" s="1"/>
  <c r="CQ73" i="1"/>
  <c r="DA74" i="1"/>
  <c r="DB74" i="1" s="1"/>
  <c r="DC74" i="1" s="1"/>
  <c r="CQ74" i="1"/>
  <c r="DA75" i="1"/>
  <c r="DB75" i="1" s="1"/>
  <c r="DC75" i="1" s="1"/>
  <c r="CQ75" i="1"/>
  <c r="DA76" i="1"/>
  <c r="DB76" i="1"/>
  <c r="DC76" i="1" s="1"/>
  <c r="CQ76" i="1"/>
  <c r="DA77" i="1"/>
  <c r="DB77" i="1"/>
  <c r="DC77" i="1" s="1"/>
  <c r="CQ77" i="1"/>
  <c r="DA78" i="1"/>
  <c r="DB78" i="1" s="1"/>
  <c r="DC78" i="1" s="1"/>
  <c r="CQ78" i="1"/>
  <c r="DB79" i="1"/>
  <c r="DC79" i="1" s="1"/>
  <c r="CQ79" i="1"/>
  <c r="DA80" i="1"/>
  <c r="DB80" i="1"/>
  <c r="CQ80" i="1"/>
  <c r="DA81" i="1"/>
  <c r="DB81" i="1"/>
  <c r="CQ81" i="1"/>
  <c r="DA82" i="1"/>
  <c r="DB82" i="1"/>
  <c r="DC82" i="1" s="1"/>
  <c r="CQ82" i="1"/>
  <c r="DA83" i="1"/>
  <c r="DB83" i="1"/>
  <c r="DC83" i="1" s="1"/>
  <c r="CQ83" i="1"/>
  <c r="DA84" i="1"/>
  <c r="DB84" i="1"/>
  <c r="CQ84" i="1"/>
  <c r="DA85" i="1"/>
  <c r="DB85" i="1"/>
  <c r="CQ85" i="1"/>
  <c r="DA86" i="1"/>
  <c r="DB86" i="1"/>
  <c r="DC86" i="1" s="1"/>
  <c r="CQ86" i="1"/>
  <c r="DA87" i="1"/>
  <c r="DB87" i="1"/>
  <c r="DC87" i="1" s="1"/>
  <c r="CQ87" i="1"/>
  <c r="DA88" i="1"/>
  <c r="DB88" i="1"/>
  <c r="CQ88" i="1"/>
  <c r="DA89" i="1"/>
  <c r="DB89" i="1"/>
  <c r="CQ89" i="1"/>
  <c r="DA90" i="1"/>
  <c r="DB90" i="1"/>
  <c r="DC90" i="1" s="1"/>
  <c r="CQ90" i="1"/>
  <c r="DA91" i="1"/>
  <c r="DB91" i="1"/>
  <c r="DC91" i="1" s="1"/>
  <c r="CQ91" i="1"/>
  <c r="DA92" i="1"/>
  <c r="DB92" i="1"/>
  <c r="CQ92" i="1"/>
  <c r="DA93" i="1"/>
  <c r="DB93" i="1"/>
  <c r="CQ93" i="1"/>
  <c r="DA94" i="1"/>
  <c r="DB94" i="1"/>
  <c r="DC94" i="1" s="1"/>
  <c r="CQ94" i="1"/>
  <c r="DA95" i="1"/>
  <c r="DB95" i="1"/>
  <c r="DC95" i="1" s="1"/>
  <c r="CQ95" i="1"/>
  <c r="DA96" i="1"/>
  <c r="DB96" i="1"/>
  <c r="CQ96" i="1"/>
  <c r="DA97" i="1"/>
  <c r="DB97" i="1"/>
  <c r="CQ97" i="1"/>
  <c r="DA98" i="1"/>
  <c r="DB98" i="1"/>
  <c r="DC98" i="1" s="1"/>
  <c r="CQ98" i="1"/>
  <c r="DA99" i="1"/>
  <c r="DB99" i="1"/>
  <c r="DC99" i="1" s="1"/>
  <c r="CQ99" i="1"/>
  <c r="DA100" i="1"/>
  <c r="DB100" i="1"/>
  <c r="CQ100" i="1"/>
  <c r="DA101" i="1"/>
  <c r="DB101" i="1"/>
  <c r="CQ101" i="1"/>
  <c r="DA102" i="1"/>
  <c r="DB102" i="1"/>
  <c r="DC102" i="1" s="1"/>
  <c r="CQ102" i="1"/>
  <c r="DA103" i="1"/>
  <c r="DB103" i="1"/>
  <c r="DC103" i="1" s="1"/>
  <c r="CQ103" i="1"/>
  <c r="DA104" i="1"/>
  <c r="DB104" i="1"/>
  <c r="CQ104" i="1"/>
  <c r="DA105" i="1"/>
  <c r="DB105" i="1"/>
  <c r="CQ105" i="1"/>
  <c r="DA106" i="1"/>
  <c r="DB106" i="1"/>
  <c r="DC106" i="1" s="1"/>
  <c r="CQ106" i="1"/>
  <c r="CJ2" i="1"/>
  <c r="CJ106" i="1"/>
  <c r="CK106" i="1" s="1"/>
  <c r="CE2" i="1"/>
  <c r="CE106" i="1"/>
  <c r="CF106" i="1" s="1"/>
  <c r="CM106" i="1" s="1"/>
  <c r="CF2" i="1"/>
  <c r="CH2" i="1"/>
  <c r="CM2" i="1"/>
  <c r="CM109" i="1" s="1"/>
  <c r="CH106" i="1"/>
  <c r="CI109" i="1"/>
  <c r="BJ2" i="1"/>
  <c r="CG2" i="1"/>
  <c r="CE107" i="1"/>
  <c r="CF107" i="1"/>
  <c r="CG107" i="1" s="1"/>
  <c r="CG109" i="1" s="1"/>
  <c r="BJ107" i="1"/>
  <c r="CE3" i="1"/>
  <c r="CF3" i="1" s="1"/>
  <c r="CG3" i="1" s="1"/>
  <c r="BJ3" i="1"/>
  <c r="CE4" i="1"/>
  <c r="CF4" i="1" s="1"/>
  <c r="CG4" i="1" s="1"/>
  <c r="BJ4" i="1"/>
  <c r="CE5" i="1"/>
  <c r="CF5" i="1" s="1"/>
  <c r="BJ5" i="1"/>
  <c r="CG5" i="1"/>
  <c r="CE6" i="1"/>
  <c r="CF6" i="1" s="1"/>
  <c r="BJ6" i="1"/>
  <c r="CG6" i="1"/>
  <c r="CE7" i="1"/>
  <c r="CF7" i="1" s="1"/>
  <c r="CG7" i="1" s="1"/>
  <c r="BJ7" i="1"/>
  <c r="CE8" i="1"/>
  <c r="CF8" i="1" s="1"/>
  <c r="CG8" i="1" s="1"/>
  <c r="BJ8" i="1"/>
  <c r="CE9" i="1"/>
  <c r="CF9" i="1" s="1"/>
  <c r="BJ9" i="1"/>
  <c r="CG9" i="1"/>
  <c r="CE10" i="1"/>
  <c r="CF10" i="1" s="1"/>
  <c r="BJ10" i="1"/>
  <c r="CG10" i="1"/>
  <c r="CE11" i="1"/>
  <c r="CF11" i="1" s="1"/>
  <c r="CG11" i="1" s="1"/>
  <c r="BJ11" i="1"/>
  <c r="CE12" i="1"/>
  <c r="CF12" i="1" s="1"/>
  <c r="CG12" i="1" s="1"/>
  <c r="BJ12" i="1"/>
  <c r="CE13" i="1"/>
  <c r="CF13" i="1" s="1"/>
  <c r="BJ13" i="1"/>
  <c r="CG13" i="1"/>
  <c r="CE14" i="1"/>
  <c r="CF14" i="1" s="1"/>
  <c r="BJ14" i="1"/>
  <c r="CG14" i="1"/>
  <c r="CE15" i="1"/>
  <c r="CF15" i="1" s="1"/>
  <c r="CG15" i="1" s="1"/>
  <c r="BJ15" i="1"/>
  <c r="CE16" i="1"/>
  <c r="CF16" i="1" s="1"/>
  <c r="CG16" i="1" s="1"/>
  <c r="BJ16" i="1"/>
  <c r="CE17" i="1"/>
  <c r="CF17" i="1" s="1"/>
  <c r="BJ17" i="1"/>
  <c r="CG17" i="1"/>
  <c r="CE18" i="1"/>
  <c r="CF18" i="1" s="1"/>
  <c r="BJ18" i="1"/>
  <c r="CG18" i="1"/>
  <c r="CE19" i="1"/>
  <c r="CF19" i="1" s="1"/>
  <c r="CG19" i="1" s="1"/>
  <c r="BJ19" i="1"/>
  <c r="CE20" i="1"/>
  <c r="CF20" i="1" s="1"/>
  <c r="CG20" i="1" s="1"/>
  <c r="BJ20" i="1"/>
  <c r="CE21" i="1"/>
  <c r="CF21" i="1" s="1"/>
  <c r="BJ21" i="1"/>
  <c r="CG21" i="1"/>
  <c r="CE22" i="1"/>
  <c r="CF22" i="1" s="1"/>
  <c r="BJ22" i="1"/>
  <c r="CG22" i="1"/>
  <c r="CE23" i="1"/>
  <c r="CF23" i="1" s="1"/>
  <c r="CG23" i="1" s="1"/>
  <c r="BJ23" i="1"/>
  <c r="CE24" i="1"/>
  <c r="CF24" i="1" s="1"/>
  <c r="CG24" i="1" s="1"/>
  <c r="BJ24" i="1"/>
  <c r="CE25" i="1"/>
  <c r="CF25" i="1" s="1"/>
  <c r="BJ25" i="1"/>
  <c r="CG25" i="1"/>
  <c r="CE26" i="1"/>
  <c r="CF26" i="1" s="1"/>
  <c r="BJ26" i="1"/>
  <c r="CG26" i="1"/>
  <c r="CE27" i="1"/>
  <c r="CF27" i="1" s="1"/>
  <c r="CG27" i="1" s="1"/>
  <c r="BJ27" i="1"/>
  <c r="CE28" i="1"/>
  <c r="CF28" i="1" s="1"/>
  <c r="CG28" i="1" s="1"/>
  <c r="BJ28" i="1"/>
  <c r="CE29" i="1"/>
  <c r="CF29" i="1" s="1"/>
  <c r="BJ29" i="1"/>
  <c r="CG29" i="1"/>
  <c r="CE30" i="1"/>
  <c r="CF30" i="1" s="1"/>
  <c r="BJ30" i="1"/>
  <c r="CG30" i="1"/>
  <c r="CE31" i="1"/>
  <c r="CF31" i="1" s="1"/>
  <c r="CG31" i="1" s="1"/>
  <c r="BJ31" i="1"/>
  <c r="CE32" i="1"/>
  <c r="CF32" i="1" s="1"/>
  <c r="CG32" i="1" s="1"/>
  <c r="BJ32" i="1"/>
  <c r="CE33" i="1"/>
  <c r="CF33" i="1" s="1"/>
  <c r="BJ33" i="1"/>
  <c r="CG33" i="1"/>
  <c r="CE34" i="1"/>
  <c r="CF34" i="1" s="1"/>
  <c r="BJ34" i="1"/>
  <c r="CG34" i="1"/>
  <c r="CE35" i="1"/>
  <c r="CF35" i="1" s="1"/>
  <c r="CG35" i="1" s="1"/>
  <c r="BJ35" i="1"/>
  <c r="CE36" i="1"/>
  <c r="CF36" i="1" s="1"/>
  <c r="CG36" i="1" s="1"/>
  <c r="BJ36" i="1"/>
  <c r="CE37" i="1"/>
  <c r="CF37" i="1" s="1"/>
  <c r="BJ37" i="1"/>
  <c r="CG37" i="1"/>
  <c r="CE38" i="1"/>
  <c r="CF38" i="1" s="1"/>
  <c r="BJ38" i="1"/>
  <c r="CG38" i="1"/>
  <c r="CE39" i="1"/>
  <c r="CF39" i="1" s="1"/>
  <c r="CG39" i="1" s="1"/>
  <c r="BJ39" i="1"/>
  <c r="CE40" i="1"/>
  <c r="CF40" i="1" s="1"/>
  <c r="CG40" i="1" s="1"/>
  <c r="BJ40" i="1"/>
  <c r="CE41" i="1"/>
  <c r="CF41" i="1" s="1"/>
  <c r="BJ41" i="1"/>
  <c r="CG41" i="1"/>
  <c r="CE42" i="1"/>
  <c r="CF42" i="1" s="1"/>
  <c r="BJ42" i="1"/>
  <c r="CG42" i="1"/>
  <c r="CE43" i="1"/>
  <c r="CF43" i="1" s="1"/>
  <c r="CG43" i="1" s="1"/>
  <c r="BJ43" i="1"/>
  <c r="CE44" i="1"/>
  <c r="CF44" i="1" s="1"/>
  <c r="CG44" i="1" s="1"/>
  <c r="BJ44" i="1"/>
  <c r="CE45" i="1"/>
  <c r="CF45" i="1" s="1"/>
  <c r="CG45" i="1" s="1"/>
  <c r="BJ45" i="1"/>
  <c r="CE46" i="1"/>
  <c r="CF46" i="1" s="1"/>
  <c r="CG46" i="1" s="1"/>
  <c r="BJ46" i="1"/>
  <c r="CE47" i="1"/>
  <c r="CF47" i="1" s="1"/>
  <c r="CG47" i="1" s="1"/>
  <c r="BJ47" i="1"/>
  <c r="CE48" i="1"/>
  <c r="CF48" i="1" s="1"/>
  <c r="CG48" i="1" s="1"/>
  <c r="BJ48" i="1"/>
  <c r="CE49" i="1"/>
  <c r="CF49" i="1" s="1"/>
  <c r="CG49" i="1" s="1"/>
  <c r="BJ49" i="1"/>
  <c r="CE50" i="1"/>
  <c r="CF50" i="1" s="1"/>
  <c r="CG50" i="1" s="1"/>
  <c r="BJ50" i="1"/>
  <c r="CE51" i="1"/>
  <c r="CF51" i="1" s="1"/>
  <c r="CG51" i="1" s="1"/>
  <c r="BJ51" i="1"/>
  <c r="CE52" i="1"/>
  <c r="CF52" i="1" s="1"/>
  <c r="CG52" i="1" s="1"/>
  <c r="BJ52" i="1"/>
  <c r="CE53" i="1"/>
  <c r="CF53" i="1" s="1"/>
  <c r="CG53" i="1" s="1"/>
  <c r="BJ53" i="1"/>
  <c r="CE54" i="1"/>
  <c r="CF54" i="1" s="1"/>
  <c r="CG54" i="1" s="1"/>
  <c r="BJ54" i="1"/>
  <c r="CE55" i="1"/>
  <c r="CF55" i="1" s="1"/>
  <c r="CG55" i="1" s="1"/>
  <c r="BJ55" i="1"/>
  <c r="CE56" i="1"/>
  <c r="CF56" i="1" s="1"/>
  <c r="CG56" i="1" s="1"/>
  <c r="BJ56" i="1"/>
  <c r="CE57" i="1"/>
  <c r="CF57" i="1" s="1"/>
  <c r="CG57" i="1" s="1"/>
  <c r="BJ57" i="1"/>
  <c r="CE58" i="1"/>
  <c r="CF58" i="1" s="1"/>
  <c r="CG58" i="1" s="1"/>
  <c r="BJ58" i="1"/>
  <c r="CE59" i="1"/>
  <c r="CF59" i="1" s="1"/>
  <c r="CG59" i="1" s="1"/>
  <c r="BJ59" i="1"/>
  <c r="CE60" i="1"/>
  <c r="CF60" i="1" s="1"/>
  <c r="CG60" i="1" s="1"/>
  <c r="BJ60" i="1"/>
  <c r="CE61" i="1"/>
  <c r="CF61" i="1" s="1"/>
  <c r="CG61" i="1" s="1"/>
  <c r="BJ61" i="1"/>
  <c r="CE62" i="1"/>
  <c r="CF62" i="1" s="1"/>
  <c r="CG62" i="1" s="1"/>
  <c r="BJ62" i="1"/>
  <c r="CE63" i="1"/>
  <c r="CF63" i="1" s="1"/>
  <c r="CG63" i="1" s="1"/>
  <c r="BJ63" i="1"/>
  <c r="CE64" i="1"/>
  <c r="CF64" i="1" s="1"/>
  <c r="CG64" i="1" s="1"/>
  <c r="BJ64" i="1"/>
  <c r="CE65" i="1"/>
  <c r="CF65" i="1" s="1"/>
  <c r="CG65" i="1" s="1"/>
  <c r="BJ65" i="1"/>
  <c r="CE66" i="1"/>
  <c r="CF66" i="1" s="1"/>
  <c r="CG66" i="1" s="1"/>
  <c r="BJ66" i="1"/>
  <c r="CE67" i="1"/>
  <c r="CF67" i="1" s="1"/>
  <c r="CG67" i="1" s="1"/>
  <c r="BJ67" i="1"/>
  <c r="CE68" i="1"/>
  <c r="CF68" i="1" s="1"/>
  <c r="CG68" i="1" s="1"/>
  <c r="BJ68" i="1"/>
  <c r="CE69" i="1"/>
  <c r="CF69" i="1" s="1"/>
  <c r="CG69" i="1" s="1"/>
  <c r="BJ69" i="1"/>
  <c r="CE70" i="1"/>
  <c r="CF70" i="1" s="1"/>
  <c r="CG70" i="1" s="1"/>
  <c r="BJ70" i="1"/>
  <c r="CE71" i="1"/>
  <c r="CF71" i="1" s="1"/>
  <c r="CG71" i="1" s="1"/>
  <c r="BJ71" i="1"/>
  <c r="CE72" i="1"/>
  <c r="CF72" i="1" s="1"/>
  <c r="CG72" i="1" s="1"/>
  <c r="BJ72" i="1"/>
  <c r="CE73" i="1"/>
  <c r="CF73" i="1" s="1"/>
  <c r="CG73" i="1" s="1"/>
  <c r="BJ73" i="1"/>
  <c r="CE74" i="1"/>
  <c r="CF74" i="1" s="1"/>
  <c r="CG74" i="1" s="1"/>
  <c r="BJ74" i="1"/>
  <c r="CE75" i="1"/>
  <c r="CF75" i="1" s="1"/>
  <c r="CG75" i="1" s="1"/>
  <c r="BJ75" i="1"/>
  <c r="CE76" i="1"/>
  <c r="CF76" i="1" s="1"/>
  <c r="CG76" i="1" s="1"/>
  <c r="BJ76" i="1"/>
  <c r="CE77" i="1"/>
  <c r="CF77" i="1" s="1"/>
  <c r="CG77" i="1" s="1"/>
  <c r="BJ77" i="1"/>
  <c r="CE78" i="1"/>
  <c r="CF78" i="1" s="1"/>
  <c r="CG78" i="1" s="1"/>
  <c r="BJ78" i="1"/>
  <c r="CE79" i="1"/>
  <c r="CF79" i="1" s="1"/>
  <c r="CG79" i="1" s="1"/>
  <c r="BJ79" i="1"/>
  <c r="CE80" i="1"/>
  <c r="CF80" i="1" s="1"/>
  <c r="CG80" i="1" s="1"/>
  <c r="BJ80" i="1"/>
  <c r="CE81" i="1"/>
  <c r="CF81" i="1" s="1"/>
  <c r="CG81" i="1" s="1"/>
  <c r="BJ81" i="1"/>
  <c r="CE82" i="1"/>
  <c r="CF82" i="1" s="1"/>
  <c r="CG82" i="1" s="1"/>
  <c r="BJ82" i="1"/>
  <c r="CE83" i="1"/>
  <c r="CF83" i="1" s="1"/>
  <c r="CG83" i="1" s="1"/>
  <c r="BJ83" i="1"/>
  <c r="CE84" i="1"/>
  <c r="CF84" i="1" s="1"/>
  <c r="CG84" i="1" s="1"/>
  <c r="BJ84" i="1"/>
  <c r="CE85" i="1"/>
  <c r="CF85" i="1" s="1"/>
  <c r="CG85" i="1" s="1"/>
  <c r="BJ85" i="1"/>
  <c r="CE86" i="1"/>
  <c r="CF86" i="1" s="1"/>
  <c r="CG86" i="1" s="1"/>
  <c r="BJ86" i="1"/>
  <c r="CE87" i="1"/>
  <c r="CF87" i="1" s="1"/>
  <c r="CG87" i="1" s="1"/>
  <c r="BJ87" i="1"/>
  <c r="CE88" i="1"/>
  <c r="CF88" i="1" s="1"/>
  <c r="CG88" i="1" s="1"/>
  <c r="BJ88" i="1"/>
  <c r="CE89" i="1"/>
  <c r="CF89" i="1" s="1"/>
  <c r="CG89" i="1" s="1"/>
  <c r="BJ89" i="1"/>
  <c r="CE90" i="1"/>
  <c r="CF90" i="1" s="1"/>
  <c r="CG90" i="1" s="1"/>
  <c r="BJ90" i="1"/>
  <c r="CE91" i="1"/>
  <c r="CF91" i="1" s="1"/>
  <c r="CG91" i="1" s="1"/>
  <c r="BJ91" i="1"/>
  <c r="CE92" i="1"/>
  <c r="CF92" i="1" s="1"/>
  <c r="CG92" i="1" s="1"/>
  <c r="BJ92" i="1"/>
  <c r="CE93" i="1"/>
  <c r="CF93" i="1" s="1"/>
  <c r="CG93" i="1" s="1"/>
  <c r="BJ93" i="1"/>
  <c r="CE94" i="1"/>
  <c r="CF94" i="1" s="1"/>
  <c r="CG94" i="1" s="1"/>
  <c r="BJ94" i="1"/>
  <c r="CE95" i="1"/>
  <c r="CF95" i="1" s="1"/>
  <c r="CG95" i="1" s="1"/>
  <c r="BJ95" i="1"/>
  <c r="CE96" i="1"/>
  <c r="CF96" i="1" s="1"/>
  <c r="CG96" i="1" s="1"/>
  <c r="BJ96" i="1"/>
  <c r="CE97" i="1"/>
  <c r="CF97" i="1" s="1"/>
  <c r="CG97" i="1" s="1"/>
  <c r="BJ97" i="1"/>
  <c r="CE98" i="1"/>
  <c r="CF98" i="1" s="1"/>
  <c r="CG98" i="1" s="1"/>
  <c r="BJ98" i="1"/>
  <c r="CE99" i="1"/>
  <c r="CF99" i="1" s="1"/>
  <c r="CG99" i="1" s="1"/>
  <c r="BJ99" i="1"/>
  <c r="CE100" i="1"/>
  <c r="CF100" i="1" s="1"/>
  <c r="CG100" i="1" s="1"/>
  <c r="BJ100" i="1"/>
  <c r="CE101" i="1"/>
  <c r="CF101" i="1" s="1"/>
  <c r="CG101" i="1" s="1"/>
  <c r="BJ101" i="1"/>
  <c r="CE102" i="1"/>
  <c r="CF102" i="1" s="1"/>
  <c r="CG102" i="1" s="1"/>
  <c r="BJ102" i="1"/>
  <c r="CE103" i="1"/>
  <c r="CF103" i="1" s="1"/>
  <c r="CG103" i="1" s="1"/>
  <c r="BJ103" i="1"/>
  <c r="CE104" i="1"/>
  <c r="CF104" i="1" s="1"/>
  <c r="CG104" i="1" s="1"/>
  <c r="BJ104" i="1"/>
  <c r="CE105" i="1"/>
  <c r="CF105" i="1" s="1"/>
  <c r="CG105" i="1" s="1"/>
  <c r="BJ105" i="1"/>
  <c r="BJ106" i="1"/>
  <c r="CG106" i="1" s="1"/>
  <c r="AX2" i="1"/>
  <c r="AY2" i="1"/>
  <c r="AZ2" i="1" s="1"/>
  <c r="AZ109" i="1" s="1"/>
  <c r="AC2" i="1"/>
  <c r="AX107" i="1"/>
  <c r="AY107" i="1"/>
  <c r="AZ107" i="1" s="1"/>
  <c r="AC107" i="1"/>
  <c r="AX3" i="1"/>
  <c r="AY3" i="1" s="1"/>
  <c r="AZ3" i="1" s="1"/>
  <c r="AC3" i="1"/>
  <c r="AX4" i="1"/>
  <c r="AY4" i="1" s="1"/>
  <c r="AZ4" i="1" s="1"/>
  <c r="AC4" i="1"/>
  <c r="AX5" i="1"/>
  <c r="AY5" i="1" s="1"/>
  <c r="AZ5" i="1" s="1"/>
  <c r="AC5" i="1"/>
  <c r="AX6" i="1"/>
  <c r="AY6" i="1" s="1"/>
  <c r="AZ6" i="1" s="1"/>
  <c r="AC6" i="1"/>
  <c r="AX7" i="1"/>
  <c r="AY7" i="1" s="1"/>
  <c r="AZ7" i="1" s="1"/>
  <c r="AC7" i="1"/>
  <c r="AX8" i="1"/>
  <c r="AY8" i="1" s="1"/>
  <c r="AZ8" i="1" s="1"/>
  <c r="AC8" i="1"/>
  <c r="AX9" i="1"/>
  <c r="AY9" i="1" s="1"/>
  <c r="AZ9" i="1" s="1"/>
  <c r="AC9" i="1"/>
  <c r="AX10" i="1"/>
  <c r="AY10" i="1" s="1"/>
  <c r="AZ10" i="1" s="1"/>
  <c r="AC10" i="1"/>
  <c r="AX11" i="1"/>
  <c r="AY11" i="1" s="1"/>
  <c r="AZ11" i="1" s="1"/>
  <c r="AC11" i="1"/>
  <c r="AX12" i="1"/>
  <c r="AY12" i="1" s="1"/>
  <c r="AZ12" i="1" s="1"/>
  <c r="AC12" i="1"/>
  <c r="AX13" i="1"/>
  <c r="AY13" i="1" s="1"/>
  <c r="AZ13" i="1" s="1"/>
  <c r="AC13" i="1"/>
  <c r="AX14" i="1"/>
  <c r="AY14" i="1" s="1"/>
  <c r="AZ14" i="1" s="1"/>
  <c r="AC14" i="1"/>
  <c r="AX15" i="1"/>
  <c r="AY15" i="1" s="1"/>
  <c r="AZ15" i="1" s="1"/>
  <c r="AC15" i="1"/>
  <c r="AX16" i="1"/>
  <c r="AY16" i="1" s="1"/>
  <c r="AZ16" i="1" s="1"/>
  <c r="AC16" i="1"/>
  <c r="AX17" i="1"/>
  <c r="AY17" i="1" s="1"/>
  <c r="AZ17" i="1" s="1"/>
  <c r="AC17" i="1"/>
  <c r="AX18" i="1"/>
  <c r="AY18" i="1" s="1"/>
  <c r="AZ18" i="1" s="1"/>
  <c r="AC18" i="1"/>
  <c r="AX19" i="1"/>
  <c r="AY19" i="1" s="1"/>
  <c r="AZ19" i="1" s="1"/>
  <c r="AC19" i="1"/>
  <c r="AX20" i="1"/>
  <c r="AY20" i="1" s="1"/>
  <c r="AZ20" i="1" s="1"/>
  <c r="AC20" i="1"/>
  <c r="AX21" i="1"/>
  <c r="AY21" i="1" s="1"/>
  <c r="AZ21" i="1" s="1"/>
  <c r="AC21" i="1"/>
  <c r="AX22" i="1"/>
  <c r="AY22" i="1" s="1"/>
  <c r="AZ22" i="1" s="1"/>
  <c r="AC22" i="1"/>
  <c r="AX23" i="1"/>
  <c r="AY23" i="1" s="1"/>
  <c r="AZ23" i="1" s="1"/>
  <c r="AC23" i="1"/>
  <c r="AX24" i="1"/>
  <c r="AY24" i="1" s="1"/>
  <c r="AZ24" i="1" s="1"/>
  <c r="AC24" i="1"/>
  <c r="AX25" i="1"/>
  <c r="AY25" i="1" s="1"/>
  <c r="AZ25" i="1" s="1"/>
  <c r="AC25" i="1"/>
  <c r="AX26" i="1"/>
  <c r="AY26" i="1" s="1"/>
  <c r="AZ26" i="1" s="1"/>
  <c r="AC26" i="1"/>
  <c r="AX27" i="1"/>
  <c r="AY27" i="1" s="1"/>
  <c r="AZ27" i="1" s="1"/>
  <c r="AC27" i="1"/>
  <c r="AX28" i="1"/>
  <c r="AY28" i="1" s="1"/>
  <c r="AZ28" i="1" s="1"/>
  <c r="AC28" i="1"/>
  <c r="AX29" i="1"/>
  <c r="AY29" i="1" s="1"/>
  <c r="AZ29" i="1" s="1"/>
  <c r="AC29" i="1"/>
  <c r="AX30" i="1"/>
  <c r="AY30" i="1" s="1"/>
  <c r="AZ30" i="1" s="1"/>
  <c r="AC30" i="1"/>
  <c r="AX31" i="1"/>
  <c r="AY31" i="1" s="1"/>
  <c r="AZ31" i="1" s="1"/>
  <c r="AC31" i="1"/>
  <c r="AX32" i="1"/>
  <c r="AY32" i="1" s="1"/>
  <c r="AZ32" i="1" s="1"/>
  <c r="AC32" i="1"/>
  <c r="AX33" i="1"/>
  <c r="AY33" i="1" s="1"/>
  <c r="AZ33" i="1" s="1"/>
  <c r="AC33" i="1"/>
  <c r="AX34" i="1"/>
  <c r="AY34" i="1" s="1"/>
  <c r="AZ34" i="1" s="1"/>
  <c r="AC34" i="1"/>
  <c r="AX35" i="1"/>
  <c r="AY35" i="1" s="1"/>
  <c r="AZ35" i="1" s="1"/>
  <c r="AC35" i="1"/>
  <c r="AX36" i="1"/>
  <c r="AY36" i="1" s="1"/>
  <c r="AZ36" i="1" s="1"/>
  <c r="AC36" i="1"/>
  <c r="AX37" i="1"/>
  <c r="AY37" i="1" s="1"/>
  <c r="AZ37" i="1" s="1"/>
  <c r="AC37" i="1"/>
  <c r="AX38" i="1"/>
  <c r="AY38" i="1" s="1"/>
  <c r="AZ38" i="1" s="1"/>
  <c r="AC38" i="1"/>
  <c r="AX39" i="1"/>
  <c r="AY39" i="1" s="1"/>
  <c r="AZ39" i="1" s="1"/>
  <c r="AC39" i="1"/>
  <c r="AX40" i="1"/>
  <c r="AY40" i="1" s="1"/>
  <c r="AZ40" i="1" s="1"/>
  <c r="AC40" i="1"/>
  <c r="AX41" i="1"/>
  <c r="AY41" i="1" s="1"/>
  <c r="AZ41" i="1" s="1"/>
  <c r="AC41" i="1"/>
  <c r="AX42" i="1"/>
  <c r="AY42" i="1" s="1"/>
  <c r="AZ42" i="1" s="1"/>
  <c r="AC42" i="1"/>
  <c r="AX43" i="1"/>
  <c r="AY43" i="1" s="1"/>
  <c r="AZ43" i="1" s="1"/>
  <c r="AC43" i="1"/>
  <c r="AX44" i="1"/>
  <c r="AY44" i="1" s="1"/>
  <c r="AZ44" i="1" s="1"/>
  <c r="AC44" i="1"/>
  <c r="AX45" i="1"/>
  <c r="AY45" i="1" s="1"/>
  <c r="AZ45" i="1" s="1"/>
  <c r="AC45" i="1"/>
  <c r="AX46" i="1"/>
  <c r="AY46" i="1" s="1"/>
  <c r="AZ46" i="1" s="1"/>
  <c r="AC46" i="1"/>
  <c r="AX47" i="1"/>
  <c r="AY47" i="1" s="1"/>
  <c r="AZ47" i="1" s="1"/>
  <c r="AC47" i="1"/>
  <c r="AX48" i="1"/>
  <c r="AY48" i="1" s="1"/>
  <c r="AZ48" i="1" s="1"/>
  <c r="AC48" i="1"/>
  <c r="AX49" i="1"/>
  <c r="AY49" i="1" s="1"/>
  <c r="AZ49" i="1" s="1"/>
  <c r="AC49" i="1"/>
  <c r="AX50" i="1"/>
  <c r="AY50" i="1" s="1"/>
  <c r="AZ50" i="1" s="1"/>
  <c r="AC50" i="1"/>
  <c r="AX51" i="1"/>
  <c r="AY51" i="1" s="1"/>
  <c r="AZ51" i="1" s="1"/>
  <c r="AC51" i="1"/>
  <c r="AX52" i="1"/>
  <c r="AY52" i="1" s="1"/>
  <c r="AZ52" i="1" s="1"/>
  <c r="AC52" i="1"/>
  <c r="AX53" i="1"/>
  <c r="AY53" i="1" s="1"/>
  <c r="AZ53" i="1" s="1"/>
  <c r="AC53" i="1"/>
  <c r="AX54" i="1"/>
  <c r="AY54" i="1" s="1"/>
  <c r="AZ54" i="1" s="1"/>
  <c r="AC54" i="1"/>
  <c r="AX55" i="1"/>
  <c r="AY55" i="1" s="1"/>
  <c r="AZ55" i="1" s="1"/>
  <c r="AC55" i="1"/>
  <c r="AX56" i="1"/>
  <c r="AY56" i="1" s="1"/>
  <c r="AZ56" i="1" s="1"/>
  <c r="AC56" i="1"/>
  <c r="AX57" i="1"/>
  <c r="AY57" i="1" s="1"/>
  <c r="AZ57" i="1" s="1"/>
  <c r="AC57" i="1"/>
  <c r="AX58" i="1"/>
  <c r="AY58" i="1" s="1"/>
  <c r="AZ58" i="1" s="1"/>
  <c r="AC58" i="1"/>
  <c r="AX59" i="1"/>
  <c r="AY59" i="1" s="1"/>
  <c r="AZ59" i="1" s="1"/>
  <c r="AC59" i="1"/>
  <c r="AX60" i="1"/>
  <c r="AY60" i="1" s="1"/>
  <c r="AZ60" i="1" s="1"/>
  <c r="AC60" i="1"/>
  <c r="AX61" i="1"/>
  <c r="AY61" i="1" s="1"/>
  <c r="AZ61" i="1" s="1"/>
  <c r="AC61" i="1"/>
  <c r="AX62" i="1"/>
  <c r="AY62" i="1" s="1"/>
  <c r="AZ62" i="1" s="1"/>
  <c r="AC62" i="1"/>
  <c r="AX63" i="1"/>
  <c r="AY63" i="1" s="1"/>
  <c r="AZ63" i="1" s="1"/>
  <c r="AC63" i="1"/>
  <c r="AX64" i="1"/>
  <c r="AY64" i="1" s="1"/>
  <c r="AZ64" i="1" s="1"/>
  <c r="AC64" i="1"/>
  <c r="AX65" i="1"/>
  <c r="AY65" i="1" s="1"/>
  <c r="AZ65" i="1" s="1"/>
  <c r="AC65" i="1"/>
  <c r="AX66" i="1"/>
  <c r="AY66" i="1" s="1"/>
  <c r="AZ66" i="1" s="1"/>
  <c r="AC66" i="1"/>
  <c r="AX67" i="1"/>
  <c r="AY67" i="1" s="1"/>
  <c r="AZ67" i="1" s="1"/>
  <c r="AC67" i="1"/>
  <c r="AX68" i="1"/>
  <c r="AY68" i="1" s="1"/>
  <c r="AZ68" i="1" s="1"/>
  <c r="AC68" i="1"/>
  <c r="AX69" i="1"/>
  <c r="AY69" i="1" s="1"/>
  <c r="AZ69" i="1" s="1"/>
  <c r="AC69" i="1"/>
  <c r="AX70" i="1"/>
  <c r="AY70" i="1" s="1"/>
  <c r="AZ70" i="1" s="1"/>
  <c r="AC70" i="1"/>
  <c r="AX71" i="1"/>
  <c r="AY71" i="1" s="1"/>
  <c r="AZ71" i="1" s="1"/>
  <c r="AC71" i="1"/>
  <c r="AX72" i="1"/>
  <c r="AY72" i="1" s="1"/>
  <c r="AZ72" i="1" s="1"/>
  <c r="AC72" i="1"/>
  <c r="AX73" i="1"/>
  <c r="AY73" i="1" s="1"/>
  <c r="AZ73" i="1" s="1"/>
  <c r="AC73" i="1"/>
  <c r="AX74" i="1"/>
  <c r="AY74" i="1" s="1"/>
  <c r="AZ74" i="1" s="1"/>
  <c r="AC74" i="1"/>
  <c r="AX75" i="1"/>
  <c r="AY75" i="1" s="1"/>
  <c r="AZ75" i="1" s="1"/>
  <c r="AC75" i="1"/>
  <c r="AX76" i="1"/>
  <c r="AY76" i="1" s="1"/>
  <c r="AZ76" i="1" s="1"/>
  <c r="AC76" i="1"/>
  <c r="AX77" i="1"/>
  <c r="AY77" i="1" s="1"/>
  <c r="AZ77" i="1" s="1"/>
  <c r="AC77" i="1"/>
  <c r="AX78" i="1"/>
  <c r="AY78" i="1" s="1"/>
  <c r="AZ78" i="1" s="1"/>
  <c r="AC78" i="1"/>
  <c r="AX79" i="1"/>
  <c r="AY79" i="1" s="1"/>
  <c r="AZ79" i="1" s="1"/>
  <c r="AC79" i="1"/>
  <c r="AX80" i="1"/>
  <c r="AY80" i="1" s="1"/>
  <c r="AZ80" i="1" s="1"/>
  <c r="AC80" i="1"/>
  <c r="AX81" i="1"/>
  <c r="AY81" i="1" s="1"/>
  <c r="AZ81" i="1" s="1"/>
  <c r="AC81" i="1"/>
  <c r="AX82" i="1"/>
  <c r="AY82" i="1" s="1"/>
  <c r="AZ82" i="1" s="1"/>
  <c r="AC82" i="1"/>
  <c r="AX83" i="1"/>
  <c r="AY83" i="1" s="1"/>
  <c r="AZ83" i="1" s="1"/>
  <c r="AC83" i="1"/>
  <c r="AX84" i="1"/>
  <c r="AY84" i="1" s="1"/>
  <c r="AZ84" i="1" s="1"/>
  <c r="AC84" i="1"/>
  <c r="AX85" i="1"/>
  <c r="AY85" i="1" s="1"/>
  <c r="AZ85" i="1" s="1"/>
  <c r="AC85" i="1"/>
  <c r="AX86" i="1"/>
  <c r="AY86" i="1" s="1"/>
  <c r="AZ86" i="1" s="1"/>
  <c r="AC86" i="1"/>
  <c r="AX87" i="1"/>
  <c r="AY87" i="1" s="1"/>
  <c r="AZ87" i="1" s="1"/>
  <c r="AC87" i="1"/>
  <c r="AX88" i="1"/>
  <c r="AY88" i="1" s="1"/>
  <c r="AZ88" i="1" s="1"/>
  <c r="AC88" i="1"/>
  <c r="AX89" i="1"/>
  <c r="AY89" i="1" s="1"/>
  <c r="AZ89" i="1" s="1"/>
  <c r="AC89" i="1"/>
  <c r="AX90" i="1"/>
  <c r="AY90" i="1" s="1"/>
  <c r="AZ90" i="1" s="1"/>
  <c r="AC90" i="1"/>
  <c r="AX91" i="1"/>
  <c r="AY91" i="1" s="1"/>
  <c r="AZ91" i="1" s="1"/>
  <c r="AC91" i="1"/>
  <c r="AX92" i="1"/>
  <c r="AY92" i="1" s="1"/>
  <c r="AZ92" i="1" s="1"/>
  <c r="AC92" i="1"/>
  <c r="AX93" i="1"/>
  <c r="AY93" i="1" s="1"/>
  <c r="AZ93" i="1" s="1"/>
  <c r="AC93" i="1"/>
  <c r="AX94" i="1"/>
  <c r="AY94" i="1" s="1"/>
  <c r="AZ94" i="1" s="1"/>
  <c r="AC94" i="1"/>
  <c r="AX95" i="1"/>
  <c r="AY95" i="1" s="1"/>
  <c r="AZ95" i="1" s="1"/>
  <c r="AC95" i="1"/>
  <c r="AX96" i="1"/>
  <c r="AY96" i="1" s="1"/>
  <c r="AZ96" i="1" s="1"/>
  <c r="AC96" i="1"/>
  <c r="AX97" i="1"/>
  <c r="AY97" i="1" s="1"/>
  <c r="AZ97" i="1" s="1"/>
  <c r="AC97" i="1"/>
  <c r="AX98" i="1"/>
  <c r="AY98" i="1" s="1"/>
  <c r="AZ98" i="1" s="1"/>
  <c r="AC98" i="1"/>
  <c r="AX99" i="1"/>
  <c r="AY99" i="1" s="1"/>
  <c r="AZ99" i="1" s="1"/>
  <c r="AC99" i="1"/>
  <c r="AX100" i="1"/>
  <c r="AY100" i="1" s="1"/>
  <c r="AZ100" i="1" s="1"/>
  <c r="AC100" i="1"/>
  <c r="AX101" i="1"/>
  <c r="AY101" i="1" s="1"/>
  <c r="AZ101" i="1" s="1"/>
  <c r="AC101" i="1"/>
  <c r="AX102" i="1"/>
  <c r="AY102" i="1" s="1"/>
  <c r="AZ102" i="1" s="1"/>
  <c r="AC102" i="1"/>
  <c r="AX103" i="1"/>
  <c r="AY103" i="1" s="1"/>
  <c r="AZ103" i="1" s="1"/>
  <c r="AC103" i="1"/>
  <c r="AX104" i="1"/>
  <c r="AY104" i="1" s="1"/>
  <c r="AZ104" i="1" s="1"/>
  <c r="AC104" i="1"/>
  <c r="AX105" i="1"/>
  <c r="AY105" i="1" s="1"/>
  <c r="AZ105" i="1" s="1"/>
  <c r="AC105" i="1"/>
  <c r="AX106" i="1"/>
  <c r="AY106" i="1" s="1"/>
  <c r="AZ106" i="1" s="1"/>
  <c r="AC106" i="1"/>
  <c r="DX2" i="1"/>
  <c r="DY2" i="1" s="1"/>
  <c r="DX107" i="1"/>
  <c r="DY107" i="1"/>
  <c r="DZ2" i="1"/>
  <c r="DZ107" i="1"/>
  <c r="DZ109" i="1"/>
  <c r="AJ2" i="1"/>
  <c r="EA2" i="1" s="1"/>
  <c r="BQ2" i="1"/>
  <c r="AJ107" i="1"/>
  <c r="EA107" i="1" s="1"/>
  <c r="EB107" i="1" s="1"/>
  <c r="BQ107" i="1"/>
  <c r="AO2" i="1"/>
  <c r="AP2" i="1"/>
  <c r="EC2" i="1" s="1"/>
  <c r="BV2" i="1"/>
  <c r="BW2" i="1" s="1"/>
  <c r="AO107" i="1"/>
  <c r="AP107" i="1" s="1"/>
  <c r="BV107" i="1"/>
  <c r="BW107" i="1" s="1"/>
  <c r="DP2" i="1"/>
  <c r="EE2" i="1" s="1"/>
  <c r="DP107" i="1"/>
  <c r="EE107" i="1"/>
  <c r="EF107" i="1" s="1"/>
  <c r="EG107" i="1" s="1"/>
  <c r="DX3" i="1"/>
  <c r="DY3" i="1" s="1"/>
  <c r="DX4" i="1"/>
  <c r="DY4" i="1" s="1"/>
  <c r="DX5" i="1"/>
  <c r="DY5" i="1" s="1"/>
  <c r="DX6" i="1"/>
  <c r="DY6" i="1" s="1"/>
  <c r="DX7" i="1"/>
  <c r="DY7" i="1" s="1"/>
  <c r="DX8" i="1"/>
  <c r="DY8" i="1" s="1"/>
  <c r="DX9" i="1"/>
  <c r="DY9" i="1" s="1"/>
  <c r="DX10" i="1"/>
  <c r="DY10" i="1" s="1"/>
  <c r="DX11" i="1"/>
  <c r="DY11" i="1" s="1"/>
  <c r="DX12" i="1"/>
  <c r="DY12" i="1" s="1"/>
  <c r="DX13" i="1"/>
  <c r="DY13" i="1" s="1"/>
  <c r="DX14" i="1"/>
  <c r="DY14" i="1" s="1"/>
  <c r="DX15" i="1"/>
  <c r="DY15" i="1" s="1"/>
  <c r="DX16" i="1"/>
  <c r="DY16" i="1" s="1"/>
  <c r="DX17" i="1"/>
  <c r="DY17" i="1" s="1"/>
  <c r="DX18" i="1"/>
  <c r="DY18" i="1" s="1"/>
  <c r="DX19" i="1"/>
  <c r="DY19" i="1" s="1"/>
  <c r="DX20" i="1"/>
  <c r="DY20" i="1" s="1"/>
  <c r="DX21" i="1"/>
  <c r="DY21" i="1" s="1"/>
  <c r="DX22" i="1"/>
  <c r="DY22" i="1" s="1"/>
  <c r="DX23" i="1"/>
  <c r="DY23" i="1" s="1"/>
  <c r="DX24" i="1"/>
  <c r="DY24" i="1" s="1"/>
  <c r="DX25" i="1"/>
  <c r="DY25" i="1" s="1"/>
  <c r="DX26" i="1"/>
  <c r="DY26" i="1" s="1"/>
  <c r="DX27" i="1"/>
  <c r="DY27" i="1" s="1"/>
  <c r="DX28" i="1"/>
  <c r="DY28" i="1" s="1"/>
  <c r="DX29" i="1"/>
  <c r="DY29" i="1" s="1"/>
  <c r="DX30" i="1"/>
  <c r="DY30" i="1" s="1"/>
  <c r="DX31" i="1"/>
  <c r="DY31" i="1" s="1"/>
  <c r="DX32" i="1"/>
  <c r="DY32" i="1" s="1"/>
  <c r="DX33" i="1"/>
  <c r="DY33" i="1" s="1"/>
  <c r="DX34" i="1"/>
  <c r="DY34" i="1" s="1"/>
  <c r="DX35" i="1"/>
  <c r="DY35" i="1" s="1"/>
  <c r="DX36" i="1"/>
  <c r="DY36" i="1" s="1"/>
  <c r="DX37" i="1"/>
  <c r="DY37" i="1" s="1"/>
  <c r="DX38" i="1"/>
  <c r="DY38" i="1" s="1"/>
  <c r="DX39" i="1"/>
  <c r="DY39" i="1" s="1"/>
  <c r="DX40" i="1"/>
  <c r="DY40" i="1" s="1"/>
  <c r="DX41" i="1"/>
  <c r="DY41" i="1" s="1"/>
  <c r="DX42" i="1"/>
  <c r="DY42" i="1" s="1"/>
  <c r="DX43" i="1"/>
  <c r="DY43" i="1" s="1"/>
  <c r="DX44" i="1"/>
  <c r="DY44" i="1" s="1"/>
  <c r="DX45" i="1"/>
  <c r="DY45" i="1" s="1"/>
  <c r="DX46" i="1"/>
  <c r="DY46" i="1" s="1"/>
  <c r="DX47" i="1"/>
  <c r="DY47" i="1" s="1"/>
  <c r="DX48" i="1"/>
  <c r="DY48" i="1" s="1"/>
  <c r="DX49" i="1"/>
  <c r="DY49" i="1" s="1"/>
  <c r="DX50" i="1"/>
  <c r="DY50" i="1" s="1"/>
  <c r="DX51" i="1"/>
  <c r="DY51" i="1" s="1"/>
  <c r="DX52" i="1"/>
  <c r="DY52" i="1" s="1"/>
  <c r="DX53" i="1"/>
  <c r="DY53" i="1" s="1"/>
  <c r="DX54" i="1"/>
  <c r="DY54" i="1" s="1"/>
  <c r="DX55" i="1"/>
  <c r="DY55" i="1" s="1"/>
  <c r="DX56" i="1"/>
  <c r="DY56" i="1" s="1"/>
  <c r="DX57" i="1"/>
  <c r="DY57" i="1" s="1"/>
  <c r="DX58" i="1"/>
  <c r="DY58" i="1" s="1"/>
  <c r="DX59" i="1"/>
  <c r="DY59" i="1" s="1"/>
  <c r="DX60" i="1"/>
  <c r="DY60" i="1" s="1"/>
  <c r="DX61" i="1"/>
  <c r="DY61" i="1" s="1"/>
  <c r="DX62" i="1"/>
  <c r="DY62" i="1" s="1"/>
  <c r="DX63" i="1"/>
  <c r="DY63" i="1" s="1"/>
  <c r="DX64" i="1"/>
  <c r="DY64" i="1" s="1"/>
  <c r="DX65" i="1"/>
  <c r="DY65" i="1" s="1"/>
  <c r="DX66" i="1"/>
  <c r="DY66" i="1" s="1"/>
  <c r="DX67" i="1"/>
  <c r="DY67" i="1" s="1"/>
  <c r="DX68" i="1"/>
  <c r="DY68" i="1" s="1"/>
  <c r="DX69" i="1"/>
  <c r="DY69" i="1" s="1"/>
  <c r="DX70" i="1"/>
  <c r="DY70" i="1" s="1"/>
  <c r="DX71" i="1"/>
  <c r="DY71" i="1" s="1"/>
  <c r="DX72" i="1"/>
  <c r="DY72" i="1" s="1"/>
  <c r="DX73" i="1"/>
  <c r="DY73" i="1" s="1"/>
  <c r="DX74" i="1"/>
  <c r="DY74" i="1" s="1"/>
  <c r="DX75" i="1"/>
  <c r="DY75" i="1" s="1"/>
  <c r="DX76" i="1"/>
  <c r="DY76" i="1" s="1"/>
  <c r="DX77" i="1"/>
  <c r="DY77" i="1" s="1"/>
  <c r="DX78" i="1"/>
  <c r="DY78" i="1" s="1"/>
  <c r="DX79" i="1"/>
  <c r="DY79" i="1" s="1"/>
  <c r="DX80" i="1"/>
  <c r="DY80" i="1" s="1"/>
  <c r="DX81" i="1"/>
  <c r="DY81" i="1" s="1"/>
  <c r="DX82" i="1"/>
  <c r="DY82" i="1" s="1"/>
  <c r="DX83" i="1"/>
  <c r="DY83" i="1" s="1"/>
  <c r="DX84" i="1"/>
  <c r="DY84" i="1" s="1"/>
  <c r="DX85" i="1"/>
  <c r="DY85" i="1" s="1"/>
  <c r="DX86" i="1"/>
  <c r="DY86" i="1" s="1"/>
  <c r="DX87" i="1"/>
  <c r="DY87" i="1" s="1"/>
  <c r="DX88" i="1"/>
  <c r="DY88" i="1" s="1"/>
  <c r="DX89" i="1"/>
  <c r="DY89" i="1" s="1"/>
  <c r="DX90" i="1"/>
  <c r="DY90" i="1" s="1"/>
  <c r="DX91" i="1"/>
  <c r="DY91" i="1" s="1"/>
  <c r="DX92" i="1"/>
  <c r="DY92" i="1" s="1"/>
  <c r="DX93" i="1"/>
  <c r="DY93" i="1" s="1"/>
  <c r="DX94" i="1"/>
  <c r="DY94" i="1" s="1"/>
  <c r="DX95" i="1"/>
  <c r="DY95" i="1" s="1"/>
  <c r="DX96" i="1"/>
  <c r="DY96" i="1" s="1"/>
  <c r="DX97" i="1"/>
  <c r="DY97" i="1" s="1"/>
  <c r="DX98" i="1"/>
  <c r="DY98" i="1" s="1"/>
  <c r="DX99" i="1"/>
  <c r="DY99" i="1" s="1"/>
  <c r="DX100" i="1"/>
  <c r="DY100" i="1" s="1"/>
  <c r="DX101" i="1"/>
  <c r="DY101" i="1" s="1"/>
  <c r="DX102" i="1"/>
  <c r="DY102" i="1" s="1"/>
  <c r="DX103" i="1"/>
  <c r="DY103" i="1" s="1"/>
  <c r="DX104" i="1"/>
  <c r="DY104" i="1" s="1"/>
  <c r="DX105" i="1"/>
  <c r="DY105" i="1" s="1"/>
  <c r="DX106" i="1"/>
  <c r="DY106" i="1" s="1"/>
  <c r="DZ3" i="1"/>
  <c r="DZ4" i="1"/>
  <c r="DZ5" i="1"/>
  <c r="DZ6" i="1"/>
  <c r="DZ108" i="1" s="1"/>
  <c r="DZ7" i="1"/>
  <c r="DZ8" i="1"/>
  <c r="DZ9" i="1"/>
  <c r="DZ10" i="1"/>
  <c r="DZ11" i="1"/>
  <c r="DZ12" i="1"/>
  <c r="DZ13" i="1"/>
  <c r="DZ14" i="1"/>
  <c r="DZ15" i="1"/>
  <c r="DZ16" i="1"/>
  <c r="DZ17" i="1"/>
  <c r="DZ18" i="1"/>
  <c r="DZ19" i="1"/>
  <c r="DZ20" i="1"/>
  <c r="DZ21" i="1"/>
  <c r="DZ22" i="1"/>
  <c r="DZ23" i="1"/>
  <c r="DZ24" i="1"/>
  <c r="DZ25" i="1"/>
  <c r="DZ26" i="1"/>
  <c r="DZ27" i="1"/>
  <c r="DZ28" i="1"/>
  <c r="DZ29" i="1"/>
  <c r="DZ30" i="1"/>
  <c r="DZ31" i="1"/>
  <c r="DZ32" i="1"/>
  <c r="DZ33" i="1"/>
  <c r="DZ34" i="1"/>
  <c r="DZ35" i="1"/>
  <c r="DZ36" i="1"/>
  <c r="DZ37" i="1"/>
  <c r="DZ38" i="1"/>
  <c r="DZ39" i="1"/>
  <c r="DZ40" i="1"/>
  <c r="DZ41" i="1"/>
  <c r="DZ42" i="1"/>
  <c r="DZ43" i="1"/>
  <c r="DZ44" i="1"/>
  <c r="DZ45" i="1"/>
  <c r="DZ46" i="1"/>
  <c r="DZ47" i="1"/>
  <c r="DZ48" i="1"/>
  <c r="DZ49" i="1"/>
  <c r="DZ50" i="1"/>
  <c r="DZ51" i="1"/>
  <c r="DZ52" i="1"/>
  <c r="DZ53" i="1"/>
  <c r="DZ54" i="1"/>
  <c r="DZ55" i="1"/>
  <c r="DZ56" i="1"/>
  <c r="DZ57" i="1"/>
  <c r="DZ58" i="1"/>
  <c r="DZ59" i="1"/>
  <c r="DZ60" i="1"/>
  <c r="DZ61" i="1"/>
  <c r="DZ62" i="1"/>
  <c r="DZ63" i="1"/>
  <c r="DZ64" i="1"/>
  <c r="DZ65" i="1"/>
  <c r="DZ66" i="1"/>
  <c r="DZ67" i="1"/>
  <c r="DZ68" i="1"/>
  <c r="DZ69" i="1"/>
  <c r="DZ70" i="1"/>
  <c r="DZ71" i="1"/>
  <c r="DZ72" i="1"/>
  <c r="DZ73" i="1"/>
  <c r="DZ74" i="1"/>
  <c r="DZ75" i="1"/>
  <c r="DZ76" i="1"/>
  <c r="DZ77" i="1"/>
  <c r="DZ78" i="1"/>
  <c r="DZ79" i="1"/>
  <c r="DZ80" i="1"/>
  <c r="DZ81" i="1"/>
  <c r="DZ82" i="1"/>
  <c r="DZ83" i="1"/>
  <c r="DZ84" i="1"/>
  <c r="DZ85" i="1"/>
  <c r="DZ86" i="1"/>
  <c r="DZ87" i="1"/>
  <c r="DZ88" i="1"/>
  <c r="DZ89" i="1"/>
  <c r="DZ90" i="1"/>
  <c r="DZ91" i="1"/>
  <c r="DZ92" i="1"/>
  <c r="DZ93" i="1"/>
  <c r="DZ94" i="1"/>
  <c r="DZ95" i="1"/>
  <c r="DZ96" i="1"/>
  <c r="DZ97" i="1"/>
  <c r="DZ98" i="1"/>
  <c r="DZ99" i="1"/>
  <c r="DZ100" i="1"/>
  <c r="DZ101" i="1"/>
  <c r="DZ102" i="1"/>
  <c r="DZ103" i="1"/>
  <c r="DZ104" i="1"/>
  <c r="DZ105" i="1"/>
  <c r="DZ106" i="1"/>
  <c r="AJ3" i="1"/>
  <c r="BQ3" i="1"/>
  <c r="EA3" i="1"/>
  <c r="EB3" i="1" s="1"/>
  <c r="AJ4" i="1"/>
  <c r="EA4" i="1" s="1"/>
  <c r="EB4" i="1" s="1"/>
  <c r="BQ4" i="1"/>
  <c r="AJ5" i="1"/>
  <c r="EA5" i="1" s="1"/>
  <c r="EB5" i="1" s="1"/>
  <c r="BQ5" i="1"/>
  <c r="AJ6" i="1"/>
  <c r="BQ6" i="1"/>
  <c r="EA6" i="1" s="1"/>
  <c r="EB6" i="1" s="1"/>
  <c r="AJ7" i="1"/>
  <c r="BQ7" i="1"/>
  <c r="EA7" i="1"/>
  <c r="EB7" i="1" s="1"/>
  <c r="AJ8" i="1"/>
  <c r="EA8" i="1" s="1"/>
  <c r="EB8" i="1" s="1"/>
  <c r="BQ8" i="1"/>
  <c r="AJ9" i="1"/>
  <c r="EA9" i="1" s="1"/>
  <c r="EB9" i="1" s="1"/>
  <c r="BQ9" i="1"/>
  <c r="AJ10" i="1"/>
  <c r="BQ10" i="1"/>
  <c r="EA10" i="1" s="1"/>
  <c r="EB10" i="1" s="1"/>
  <c r="AJ11" i="1"/>
  <c r="BQ11" i="1"/>
  <c r="EA11" i="1"/>
  <c r="EB11" i="1" s="1"/>
  <c r="AJ12" i="1"/>
  <c r="EA12" i="1" s="1"/>
  <c r="EB12" i="1" s="1"/>
  <c r="BQ12" i="1"/>
  <c r="AJ13" i="1"/>
  <c r="EA13" i="1" s="1"/>
  <c r="EB13" i="1" s="1"/>
  <c r="BQ13" i="1"/>
  <c r="AJ14" i="1"/>
  <c r="BQ14" i="1"/>
  <c r="EA14" i="1" s="1"/>
  <c r="EB14" i="1" s="1"/>
  <c r="AJ15" i="1"/>
  <c r="BQ15" i="1"/>
  <c r="EA15" i="1"/>
  <c r="EB15" i="1" s="1"/>
  <c r="AJ16" i="1"/>
  <c r="EA16" i="1" s="1"/>
  <c r="EB16" i="1" s="1"/>
  <c r="BQ16" i="1"/>
  <c r="AJ17" i="1"/>
  <c r="EA17" i="1" s="1"/>
  <c r="EB17" i="1" s="1"/>
  <c r="BQ17" i="1"/>
  <c r="AJ18" i="1"/>
  <c r="BQ18" i="1"/>
  <c r="EA18" i="1" s="1"/>
  <c r="EB18" i="1" s="1"/>
  <c r="AJ19" i="1"/>
  <c r="BQ19" i="1"/>
  <c r="EA19" i="1"/>
  <c r="EB19" i="1" s="1"/>
  <c r="AJ20" i="1"/>
  <c r="EA20" i="1" s="1"/>
  <c r="EB20" i="1" s="1"/>
  <c r="BQ20" i="1"/>
  <c r="AJ21" i="1"/>
  <c r="EA21" i="1" s="1"/>
  <c r="EB21" i="1" s="1"/>
  <c r="BQ21" i="1"/>
  <c r="AJ22" i="1"/>
  <c r="BQ22" i="1"/>
  <c r="EA22" i="1" s="1"/>
  <c r="EB22" i="1" s="1"/>
  <c r="AJ23" i="1"/>
  <c r="BQ23" i="1"/>
  <c r="EA23" i="1"/>
  <c r="EB23" i="1" s="1"/>
  <c r="AJ24" i="1"/>
  <c r="EA24" i="1" s="1"/>
  <c r="EB24" i="1" s="1"/>
  <c r="BQ24" i="1"/>
  <c r="AJ25" i="1"/>
  <c r="EA25" i="1" s="1"/>
  <c r="EB25" i="1" s="1"/>
  <c r="BQ25" i="1"/>
  <c r="AJ26" i="1"/>
  <c r="BQ26" i="1"/>
  <c r="EA26" i="1" s="1"/>
  <c r="EB26" i="1" s="1"/>
  <c r="AJ27" i="1"/>
  <c r="BQ27" i="1"/>
  <c r="EA27" i="1"/>
  <c r="EB27" i="1" s="1"/>
  <c r="AJ28" i="1"/>
  <c r="EA28" i="1" s="1"/>
  <c r="EB28" i="1" s="1"/>
  <c r="BQ28" i="1"/>
  <c r="AJ29" i="1"/>
  <c r="EA29" i="1" s="1"/>
  <c r="EB29" i="1" s="1"/>
  <c r="BQ29" i="1"/>
  <c r="AJ30" i="1"/>
  <c r="BQ30" i="1"/>
  <c r="EA30" i="1" s="1"/>
  <c r="EB30" i="1" s="1"/>
  <c r="AJ31" i="1"/>
  <c r="BQ31" i="1"/>
  <c r="EA31" i="1"/>
  <c r="EB31" i="1" s="1"/>
  <c r="AJ32" i="1"/>
  <c r="EA32" i="1" s="1"/>
  <c r="EB32" i="1" s="1"/>
  <c r="BQ32" i="1"/>
  <c r="AJ33" i="1"/>
  <c r="EA33" i="1" s="1"/>
  <c r="EB33" i="1" s="1"/>
  <c r="BQ33" i="1"/>
  <c r="AJ34" i="1"/>
  <c r="BQ34" i="1"/>
  <c r="EA34" i="1" s="1"/>
  <c r="EB34" i="1" s="1"/>
  <c r="AJ35" i="1"/>
  <c r="BQ35" i="1"/>
  <c r="EA35" i="1"/>
  <c r="EB35" i="1" s="1"/>
  <c r="AJ36" i="1"/>
  <c r="EA36" i="1" s="1"/>
  <c r="EB36" i="1" s="1"/>
  <c r="BQ36" i="1"/>
  <c r="AJ37" i="1"/>
  <c r="EA37" i="1" s="1"/>
  <c r="EB37" i="1" s="1"/>
  <c r="BQ37" i="1"/>
  <c r="AJ38" i="1"/>
  <c r="BQ38" i="1"/>
  <c r="EA38" i="1" s="1"/>
  <c r="EB38" i="1" s="1"/>
  <c r="AJ39" i="1"/>
  <c r="BQ39" i="1"/>
  <c r="EA39" i="1"/>
  <c r="EB39" i="1" s="1"/>
  <c r="AJ40" i="1"/>
  <c r="EA40" i="1" s="1"/>
  <c r="EB40" i="1" s="1"/>
  <c r="BQ40" i="1"/>
  <c r="AJ41" i="1"/>
  <c r="EA41" i="1" s="1"/>
  <c r="EB41" i="1" s="1"/>
  <c r="BQ41" i="1"/>
  <c r="AJ42" i="1"/>
  <c r="BQ42" i="1"/>
  <c r="EA42" i="1" s="1"/>
  <c r="EB42" i="1" s="1"/>
  <c r="AJ43" i="1"/>
  <c r="BQ43" i="1"/>
  <c r="EA43" i="1"/>
  <c r="EB43" i="1" s="1"/>
  <c r="AJ44" i="1"/>
  <c r="EA44" i="1" s="1"/>
  <c r="EB44" i="1" s="1"/>
  <c r="BQ44" i="1"/>
  <c r="AJ45" i="1"/>
  <c r="EA45" i="1" s="1"/>
  <c r="EB45" i="1" s="1"/>
  <c r="BQ45" i="1"/>
  <c r="AJ46" i="1"/>
  <c r="BQ46" i="1"/>
  <c r="EA46" i="1" s="1"/>
  <c r="EB46" i="1" s="1"/>
  <c r="AJ47" i="1"/>
  <c r="BQ47" i="1"/>
  <c r="EA47" i="1"/>
  <c r="EB47" i="1" s="1"/>
  <c r="AJ48" i="1"/>
  <c r="EA48" i="1" s="1"/>
  <c r="EB48" i="1" s="1"/>
  <c r="BQ48" i="1"/>
  <c r="AJ49" i="1"/>
  <c r="EA49" i="1" s="1"/>
  <c r="EB49" i="1" s="1"/>
  <c r="BQ49" i="1"/>
  <c r="AJ50" i="1"/>
  <c r="BQ50" i="1"/>
  <c r="EA50" i="1" s="1"/>
  <c r="EB50" i="1" s="1"/>
  <c r="AJ51" i="1"/>
  <c r="BQ51" i="1"/>
  <c r="EA51" i="1"/>
  <c r="EB51" i="1" s="1"/>
  <c r="AJ52" i="1"/>
  <c r="EA52" i="1" s="1"/>
  <c r="EB52" i="1" s="1"/>
  <c r="BQ52" i="1"/>
  <c r="AJ53" i="1"/>
  <c r="EA53" i="1" s="1"/>
  <c r="EB53" i="1" s="1"/>
  <c r="BQ53" i="1"/>
  <c r="AJ54" i="1"/>
  <c r="BQ54" i="1"/>
  <c r="EA54" i="1" s="1"/>
  <c r="EB54" i="1" s="1"/>
  <c r="AJ55" i="1"/>
  <c r="BQ55" i="1"/>
  <c r="EA55" i="1"/>
  <c r="EB55" i="1" s="1"/>
  <c r="AJ56" i="1"/>
  <c r="EA56" i="1" s="1"/>
  <c r="EB56" i="1" s="1"/>
  <c r="BQ56" i="1"/>
  <c r="AJ57" i="1"/>
  <c r="EA57" i="1" s="1"/>
  <c r="EB57" i="1" s="1"/>
  <c r="BQ57" i="1"/>
  <c r="AJ58" i="1"/>
  <c r="BQ58" i="1"/>
  <c r="EA58" i="1" s="1"/>
  <c r="EB58" i="1" s="1"/>
  <c r="AJ59" i="1"/>
  <c r="BQ59" i="1"/>
  <c r="EA59" i="1"/>
  <c r="EB59" i="1" s="1"/>
  <c r="AJ60" i="1"/>
  <c r="EA60" i="1" s="1"/>
  <c r="EB60" i="1" s="1"/>
  <c r="BQ60" i="1"/>
  <c r="AJ61" i="1"/>
  <c r="EA61" i="1" s="1"/>
  <c r="EB61" i="1" s="1"/>
  <c r="BQ61" i="1"/>
  <c r="AJ62" i="1"/>
  <c r="BQ62" i="1"/>
  <c r="EA62" i="1" s="1"/>
  <c r="EB62" i="1" s="1"/>
  <c r="AJ63" i="1"/>
  <c r="BQ63" i="1"/>
  <c r="EA63" i="1"/>
  <c r="EB63" i="1" s="1"/>
  <c r="AJ64" i="1"/>
  <c r="EA64" i="1" s="1"/>
  <c r="EB64" i="1" s="1"/>
  <c r="BQ64" i="1"/>
  <c r="AJ65" i="1"/>
  <c r="EA65" i="1" s="1"/>
  <c r="EB65" i="1" s="1"/>
  <c r="BQ65" i="1"/>
  <c r="AJ66" i="1"/>
  <c r="BQ66" i="1"/>
  <c r="EA66" i="1" s="1"/>
  <c r="EB66" i="1" s="1"/>
  <c r="AJ67" i="1"/>
  <c r="BQ67" i="1"/>
  <c r="EA67" i="1"/>
  <c r="EB67" i="1" s="1"/>
  <c r="AJ68" i="1"/>
  <c r="EA68" i="1" s="1"/>
  <c r="EB68" i="1" s="1"/>
  <c r="BQ68" i="1"/>
  <c r="AJ69" i="1"/>
  <c r="EA69" i="1" s="1"/>
  <c r="EB69" i="1" s="1"/>
  <c r="BQ69" i="1"/>
  <c r="AJ70" i="1"/>
  <c r="BQ70" i="1"/>
  <c r="EA70" i="1" s="1"/>
  <c r="EB70" i="1" s="1"/>
  <c r="AJ71" i="1"/>
  <c r="BQ71" i="1"/>
  <c r="EA71" i="1"/>
  <c r="EB71" i="1" s="1"/>
  <c r="AJ72" i="1"/>
  <c r="EA72" i="1" s="1"/>
  <c r="EB72" i="1" s="1"/>
  <c r="BQ72" i="1"/>
  <c r="AJ73" i="1"/>
  <c r="EA73" i="1" s="1"/>
  <c r="EB73" i="1" s="1"/>
  <c r="BQ73" i="1"/>
  <c r="AJ74" i="1"/>
  <c r="BQ74" i="1"/>
  <c r="EA74" i="1" s="1"/>
  <c r="EB74" i="1" s="1"/>
  <c r="AJ75" i="1"/>
  <c r="BQ75" i="1"/>
  <c r="EA75" i="1"/>
  <c r="EB75" i="1" s="1"/>
  <c r="AJ76" i="1"/>
  <c r="EA76" i="1" s="1"/>
  <c r="EB76" i="1" s="1"/>
  <c r="BQ76" i="1"/>
  <c r="AJ77" i="1"/>
  <c r="EA77" i="1" s="1"/>
  <c r="EB77" i="1" s="1"/>
  <c r="BQ77" i="1"/>
  <c r="AJ78" i="1"/>
  <c r="BQ78" i="1"/>
  <c r="EA78" i="1" s="1"/>
  <c r="EB78" i="1" s="1"/>
  <c r="AJ79" i="1"/>
  <c r="BQ79" i="1"/>
  <c r="EA79" i="1"/>
  <c r="EB79" i="1" s="1"/>
  <c r="AJ80" i="1"/>
  <c r="EA80" i="1" s="1"/>
  <c r="EB80" i="1" s="1"/>
  <c r="BQ80" i="1"/>
  <c r="AJ81" i="1"/>
  <c r="EA81" i="1" s="1"/>
  <c r="EB81" i="1" s="1"/>
  <c r="BQ81" i="1"/>
  <c r="AJ82" i="1"/>
  <c r="BQ82" i="1"/>
  <c r="EA82" i="1" s="1"/>
  <c r="EB82" i="1" s="1"/>
  <c r="AJ83" i="1"/>
  <c r="BQ83" i="1"/>
  <c r="EA83" i="1"/>
  <c r="EB83" i="1" s="1"/>
  <c r="AJ84" i="1"/>
  <c r="EA84" i="1" s="1"/>
  <c r="EB84" i="1" s="1"/>
  <c r="BQ84" i="1"/>
  <c r="AJ85" i="1"/>
  <c r="EA85" i="1" s="1"/>
  <c r="EB85" i="1" s="1"/>
  <c r="BQ85" i="1"/>
  <c r="AJ86" i="1"/>
  <c r="BQ86" i="1"/>
  <c r="EA86" i="1" s="1"/>
  <c r="EB86" i="1" s="1"/>
  <c r="AJ87" i="1"/>
  <c r="BQ87" i="1"/>
  <c r="EA87" i="1"/>
  <c r="EB87" i="1" s="1"/>
  <c r="AJ88" i="1"/>
  <c r="EA88" i="1" s="1"/>
  <c r="EB88" i="1" s="1"/>
  <c r="BQ88" i="1"/>
  <c r="AJ89" i="1"/>
  <c r="EA89" i="1" s="1"/>
  <c r="EB89" i="1" s="1"/>
  <c r="BQ89" i="1"/>
  <c r="AJ90" i="1"/>
  <c r="BQ90" i="1"/>
  <c r="EA90" i="1" s="1"/>
  <c r="EB90" i="1" s="1"/>
  <c r="AJ91" i="1"/>
  <c r="BQ91" i="1"/>
  <c r="EA91" i="1"/>
  <c r="EB91" i="1" s="1"/>
  <c r="AJ92" i="1"/>
  <c r="EA92" i="1" s="1"/>
  <c r="EB92" i="1" s="1"/>
  <c r="BQ92" i="1"/>
  <c r="AJ93" i="1"/>
  <c r="EA93" i="1" s="1"/>
  <c r="EB93" i="1" s="1"/>
  <c r="BQ93" i="1"/>
  <c r="AJ94" i="1"/>
  <c r="BQ94" i="1"/>
  <c r="EA94" i="1" s="1"/>
  <c r="EB94" i="1" s="1"/>
  <c r="AJ95" i="1"/>
  <c r="BQ95" i="1"/>
  <c r="EA95" i="1"/>
  <c r="EB95" i="1" s="1"/>
  <c r="AJ96" i="1"/>
  <c r="EA96" i="1" s="1"/>
  <c r="EB96" i="1" s="1"/>
  <c r="BQ96" i="1"/>
  <c r="AJ97" i="1"/>
  <c r="EA97" i="1" s="1"/>
  <c r="EB97" i="1" s="1"/>
  <c r="BQ97" i="1"/>
  <c r="AJ98" i="1"/>
  <c r="BQ98" i="1"/>
  <c r="EA98" i="1" s="1"/>
  <c r="EB98" i="1" s="1"/>
  <c r="AJ99" i="1"/>
  <c r="BQ99" i="1"/>
  <c r="EA99" i="1"/>
  <c r="EB99" i="1" s="1"/>
  <c r="AJ100" i="1"/>
  <c r="EA100" i="1" s="1"/>
  <c r="EB100" i="1" s="1"/>
  <c r="BQ100" i="1"/>
  <c r="AJ101" i="1"/>
  <c r="EA101" i="1" s="1"/>
  <c r="EB101" i="1" s="1"/>
  <c r="BQ101" i="1"/>
  <c r="AJ102" i="1"/>
  <c r="BQ102" i="1"/>
  <c r="EA102" i="1" s="1"/>
  <c r="EB102" i="1" s="1"/>
  <c r="AJ103" i="1"/>
  <c r="BQ103" i="1"/>
  <c r="EA103" i="1"/>
  <c r="EB103" i="1" s="1"/>
  <c r="AJ104" i="1"/>
  <c r="EA104" i="1" s="1"/>
  <c r="EB104" i="1" s="1"/>
  <c r="BQ104" i="1"/>
  <c r="AJ105" i="1"/>
  <c r="EA105" i="1" s="1"/>
  <c r="EB105" i="1" s="1"/>
  <c r="BQ105" i="1"/>
  <c r="AJ106" i="1"/>
  <c r="BQ106" i="1"/>
  <c r="EA106" i="1" s="1"/>
  <c r="EB106" i="1" s="1"/>
  <c r="AO3" i="1"/>
  <c r="AP3" i="1" s="1"/>
  <c r="EC3" i="1" s="1"/>
  <c r="BV3" i="1"/>
  <c r="BW3" i="1"/>
  <c r="AO4" i="1"/>
  <c r="AP4" i="1" s="1"/>
  <c r="EC4" i="1" s="1"/>
  <c r="BV4" i="1"/>
  <c r="BW4" i="1"/>
  <c r="AO5" i="1"/>
  <c r="AP5" i="1" s="1"/>
  <c r="BV5" i="1"/>
  <c r="BW5" i="1" s="1"/>
  <c r="AO6" i="1"/>
  <c r="AP6" i="1"/>
  <c r="BV6" i="1"/>
  <c r="BW6" i="1" s="1"/>
  <c r="AO7" i="1"/>
  <c r="AP7" i="1" s="1"/>
  <c r="EC7" i="1" s="1"/>
  <c r="BV7" i="1"/>
  <c r="BW7" i="1" s="1"/>
  <c r="AO8" i="1"/>
  <c r="AP8" i="1" s="1"/>
  <c r="EC8" i="1" s="1"/>
  <c r="BV8" i="1"/>
  <c r="BW8" i="1"/>
  <c r="AO9" i="1"/>
  <c r="AP9" i="1" s="1"/>
  <c r="EC9" i="1" s="1"/>
  <c r="BV9" i="1"/>
  <c r="BW9" i="1" s="1"/>
  <c r="AO10" i="1"/>
  <c r="AP10" i="1"/>
  <c r="EC10" i="1" s="1"/>
  <c r="BV10" i="1"/>
  <c r="BW10" i="1" s="1"/>
  <c r="AO11" i="1"/>
  <c r="AP11" i="1" s="1"/>
  <c r="BV11" i="1"/>
  <c r="BW11" i="1" s="1"/>
  <c r="EC11" i="1"/>
  <c r="AO12" i="1"/>
  <c r="AP12" i="1" s="1"/>
  <c r="BV12" i="1"/>
  <c r="BW12" i="1"/>
  <c r="AO13" i="1"/>
  <c r="AP13" i="1" s="1"/>
  <c r="EC13" i="1" s="1"/>
  <c r="BV13" i="1"/>
  <c r="BW13" i="1" s="1"/>
  <c r="AO14" i="1"/>
  <c r="AP14" i="1"/>
  <c r="BV14" i="1"/>
  <c r="BW14" i="1" s="1"/>
  <c r="AO15" i="1"/>
  <c r="AP15" i="1" s="1"/>
  <c r="BV15" i="1"/>
  <c r="BW15" i="1" s="1"/>
  <c r="EC15" i="1"/>
  <c r="AO16" i="1"/>
  <c r="AP16" i="1" s="1"/>
  <c r="EC16" i="1" s="1"/>
  <c r="BV16" i="1"/>
  <c r="BW16" i="1"/>
  <c r="AO17" i="1"/>
  <c r="AP17" i="1" s="1"/>
  <c r="BV17" i="1"/>
  <c r="BW17" i="1" s="1"/>
  <c r="AO18" i="1"/>
  <c r="AP18" i="1"/>
  <c r="BV18" i="1"/>
  <c r="BW18" i="1" s="1"/>
  <c r="AO19" i="1"/>
  <c r="AP19" i="1" s="1"/>
  <c r="EC19" i="1" s="1"/>
  <c r="ED19" i="1" s="1"/>
  <c r="BV19" i="1"/>
  <c r="BW19" i="1" s="1"/>
  <c r="AO20" i="1"/>
  <c r="AP20" i="1" s="1"/>
  <c r="EC20" i="1" s="1"/>
  <c r="BV20" i="1"/>
  <c r="BW20" i="1"/>
  <c r="AO21" i="1"/>
  <c r="AP21" i="1" s="1"/>
  <c r="BV21" i="1"/>
  <c r="BW21" i="1" s="1"/>
  <c r="AO22" i="1"/>
  <c r="AP22" i="1"/>
  <c r="EC22" i="1" s="1"/>
  <c r="BV22" i="1"/>
  <c r="BW22" i="1" s="1"/>
  <c r="AO23" i="1"/>
  <c r="AP23" i="1" s="1"/>
  <c r="EC23" i="1" s="1"/>
  <c r="ED23" i="1" s="1"/>
  <c r="BV23" i="1"/>
  <c r="BW23" i="1" s="1"/>
  <c r="AO24" i="1"/>
  <c r="AP24" i="1" s="1"/>
  <c r="BV24" i="1"/>
  <c r="BW24" i="1"/>
  <c r="AO25" i="1"/>
  <c r="AP25" i="1" s="1"/>
  <c r="BV25" i="1"/>
  <c r="BW25" i="1" s="1"/>
  <c r="AO26" i="1"/>
  <c r="AP26" i="1"/>
  <c r="EC26" i="1" s="1"/>
  <c r="BV26" i="1"/>
  <c r="BW26" i="1" s="1"/>
  <c r="AO27" i="1"/>
  <c r="AP27" i="1" s="1"/>
  <c r="BV27" i="1"/>
  <c r="BW27" i="1" s="1"/>
  <c r="EC27" i="1"/>
  <c r="AO28" i="1"/>
  <c r="AP28" i="1" s="1"/>
  <c r="BV28" i="1"/>
  <c r="BW28" i="1"/>
  <c r="AO29" i="1"/>
  <c r="AP29" i="1" s="1"/>
  <c r="EC29" i="1" s="1"/>
  <c r="BV29" i="1"/>
  <c r="BW29" i="1" s="1"/>
  <c r="AO30" i="1"/>
  <c r="AP30" i="1"/>
  <c r="BV30" i="1"/>
  <c r="BW30" i="1" s="1"/>
  <c r="AO31" i="1"/>
  <c r="AP31" i="1" s="1"/>
  <c r="BV31" i="1"/>
  <c r="BW31" i="1" s="1"/>
  <c r="EC31" i="1"/>
  <c r="AO32" i="1"/>
  <c r="AP32" i="1" s="1"/>
  <c r="EC32" i="1" s="1"/>
  <c r="ED32" i="1" s="1"/>
  <c r="BV32" i="1"/>
  <c r="BW32" i="1"/>
  <c r="AO33" i="1"/>
  <c r="AP33" i="1" s="1"/>
  <c r="BV33" i="1"/>
  <c r="BW33" i="1" s="1"/>
  <c r="AO34" i="1"/>
  <c r="AP34" i="1"/>
  <c r="BV34" i="1"/>
  <c r="BW34" i="1" s="1"/>
  <c r="AO35" i="1"/>
  <c r="AP35" i="1" s="1"/>
  <c r="EC35" i="1" s="1"/>
  <c r="ED35" i="1" s="1"/>
  <c r="BV35" i="1"/>
  <c r="BW35" i="1" s="1"/>
  <c r="AO36" i="1"/>
  <c r="AP36" i="1" s="1"/>
  <c r="EC36" i="1" s="1"/>
  <c r="ED36" i="1" s="1"/>
  <c r="BV36" i="1"/>
  <c r="BW36" i="1"/>
  <c r="AO37" i="1"/>
  <c r="AP37" i="1" s="1"/>
  <c r="BV37" i="1"/>
  <c r="BW37" i="1" s="1"/>
  <c r="AO38" i="1"/>
  <c r="AP38" i="1"/>
  <c r="BV38" i="1"/>
  <c r="BW38" i="1" s="1"/>
  <c r="AO39" i="1"/>
  <c r="AP39" i="1" s="1"/>
  <c r="EC39" i="1" s="1"/>
  <c r="ED39" i="1" s="1"/>
  <c r="BV39" i="1"/>
  <c r="BW39" i="1" s="1"/>
  <c r="AO40" i="1"/>
  <c r="AP40" i="1" s="1"/>
  <c r="BV40" i="1"/>
  <c r="BW40" i="1"/>
  <c r="AO41" i="1"/>
  <c r="AP41" i="1" s="1"/>
  <c r="EC41" i="1" s="1"/>
  <c r="BV41" i="1"/>
  <c r="BW41" i="1" s="1"/>
  <c r="AO42" i="1"/>
  <c r="AP42" i="1"/>
  <c r="EC42" i="1" s="1"/>
  <c r="BV42" i="1"/>
  <c r="BW42" i="1" s="1"/>
  <c r="AO43" i="1"/>
  <c r="AP43" i="1" s="1"/>
  <c r="BV43" i="1"/>
  <c r="BW43" i="1" s="1"/>
  <c r="EC43" i="1"/>
  <c r="ED43" i="1" s="1"/>
  <c r="AO44" i="1"/>
  <c r="AP44" i="1" s="1"/>
  <c r="BV44" i="1"/>
  <c r="BW44" i="1"/>
  <c r="AO45" i="1"/>
  <c r="AP45" i="1" s="1"/>
  <c r="EC45" i="1" s="1"/>
  <c r="BV45" i="1"/>
  <c r="BW45" i="1" s="1"/>
  <c r="AO46" i="1"/>
  <c r="AP46" i="1"/>
  <c r="BV46" i="1"/>
  <c r="BW46" i="1" s="1"/>
  <c r="AO47" i="1"/>
  <c r="AP47" i="1" s="1"/>
  <c r="BV47" i="1"/>
  <c r="BW47" i="1" s="1"/>
  <c r="EC47" i="1"/>
  <c r="ED47" i="1" s="1"/>
  <c r="AO48" i="1"/>
  <c r="AP48" i="1" s="1"/>
  <c r="EC48" i="1" s="1"/>
  <c r="ED48" i="1" s="1"/>
  <c r="BV48" i="1"/>
  <c r="BW48" i="1"/>
  <c r="AO49" i="1"/>
  <c r="AP49" i="1" s="1"/>
  <c r="BV49" i="1"/>
  <c r="BW49" i="1" s="1"/>
  <c r="AO50" i="1"/>
  <c r="AP50" i="1"/>
  <c r="BV50" i="1"/>
  <c r="BW50" i="1" s="1"/>
  <c r="AO51" i="1"/>
  <c r="AP51" i="1" s="1"/>
  <c r="EC51" i="1" s="1"/>
  <c r="ED51" i="1" s="1"/>
  <c r="BV51" i="1"/>
  <c r="BW51" i="1" s="1"/>
  <c r="AO52" i="1"/>
  <c r="AP52" i="1" s="1"/>
  <c r="EC52" i="1" s="1"/>
  <c r="ED52" i="1" s="1"/>
  <c r="BV52" i="1"/>
  <c r="BW52" i="1"/>
  <c r="AO53" i="1"/>
  <c r="AP53" i="1" s="1"/>
  <c r="BV53" i="1"/>
  <c r="BW53" i="1" s="1"/>
  <c r="AO54" i="1"/>
  <c r="AP54" i="1"/>
  <c r="BV54" i="1"/>
  <c r="BW54" i="1" s="1"/>
  <c r="AO55" i="1"/>
  <c r="AP55" i="1" s="1"/>
  <c r="EC55" i="1" s="1"/>
  <c r="ED55" i="1" s="1"/>
  <c r="BV55" i="1"/>
  <c r="BW55" i="1" s="1"/>
  <c r="AO56" i="1"/>
  <c r="AP56" i="1" s="1"/>
  <c r="BV56" i="1"/>
  <c r="BW56" i="1"/>
  <c r="AO57" i="1"/>
  <c r="AP57" i="1" s="1"/>
  <c r="EC57" i="1" s="1"/>
  <c r="BV57" i="1"/>
  <c r="BW57" i="1" s="1"/>
  <c r="AO58" i="1"/>
  <c r="AP58" i="1"/>
  <c r="EC58" i="1" s="1"/>
  <c r="BV58" i="1"/>
  <c r="BW58" i="1" s="1"/>
  <c r="AO59" i="1"/>
  <c r="AP59" i="1"/>
  <c r="EC59" i="1" s="1"/>
  <c r="ED59" i="1" s="1"/>
  <c r="BV59" i="1"/>
  <c r="BW59" i="1" s="1"/>
  <c r="AO60" i="1"/>
  <c r="AP60" i="1" s="1"/>
  <c r="BV60" i="1"/>
  <c r="BW60" i="1"/>
  <c r="EC60" i="1" s="1"/>
  <c r="ED60" i="1" s="1"/>
  <c r="AO61" i="1"/>
  <c r="AP61" i="1" s="1"/>
  <c r="BV61" i="1"/>
  <c r="BW61" i="1"/>
  <c r="AO62" i="1"/>
  <c r="AP62" i="1"/>
  <c r="BV62" i="1"/>
  <c r="BW62" i="1" s="1"/>
  <c r="AO63" i="1"/>
  <c r="AP63" i="1" s="1"/>
  <c r="EC63" i="1" s="1"/>
  <c r="ED63" i="1" s="1"/>
  <c r="BV63" i="1"/>
  <c r="BW63" i="1" s="1"/>
  <c r="AO64" i="1"/>
  <c r="AP64" i="1" s="1"/>
  <c r="BV64" i="1"/>
  <c r="BW64" i="1"/>
  <c r="EC64" i="1"/>
  <c r="ED64" i="1" s="1"/>
  <c r="AO65" i="1"/>
  <c r="AP65" i="1" s="1"/>
  <c r="EC65" i="1" s="1"/>
  <c r="BV65" i="1"/>
  <c r="BW65" i="1"/>
  <c r="AO66" i="1"/>
  <c r="AP66" i="1"/>
  <c r="EC66" i="1" s="1"/>
  <c r="BV66" i="1"/>
  <c r="BW66" i="1" s="1"/>
  <c r="AO67" i="1"/>
  <c r="AP67" i="1"/>
  <c r="EC67" i="1" s="1"/>
  <c r="ED67" i="1" s="1"/>
  <c r="BV67" i="1"/>
  <c r="BW67" i="1"/>
  <c r="AO68" i="1"/>
  <c r="AP68" i="1" s="1"/>
  <c r="EC68" i="1" s="1"/>
  <c r="ED68" i="1" s="1"/>
  <c r="BV68" i="1"/>
  <c r="BW68" i="1"/>
  <c r="AO69" i="1"/>
  <c r="AP69" i="1"/>
  <c r="BV69" i="1"/>
  <c r="BW69" i="1"/>
  <c r="EC69" i="1" s="1"/>
  <c r="AO70" i="1"/>
  <c r="AP70" i="1"/>
  <c r="EC70" i="1" s="1"/>
  <c r="BV70" i="1"/>
  <c r="BW70" i="1" s="1"/>
  <c r="AO71" i="1"/>
  <c r="AP71" i="1"/>
  <c r="EC71" i="1" s="1"/>
  <c r="ED71" i="1" s="1"/>
  <c r="BV71" i="1"/>
  <c r="BW71" i="1" s="1"/>
  <c r="AO72" i="1"/>
  <c r="AP72" i="1" s="1"/>
  <c r="EC72" i="1" s="1"/>
  <c r="ED72" i="1" s="1"/>
  <c r="BV72" i="1"/>
  <c r="BW72" i="1"/>
  <c r="AO73" i="1"/>
  <c r="AP73" i="1" s="1"/>
  <c r="BV73" i="1"/>
  <c r="BW73" i="1"/>
  <c r="AO74" i="1"/>
  <c r="AP74" i="1"/>
  <c r="BV74" i="1"/>
  <c r="BW74" i="1" s="1"/>
  <c r="AO75" i="1"/>
  <c r="AP75" i="1" s="1"/>
  <c r="EC75" i="1" s="1"/>
  <c r="ED75" i="1" s="1"/>
  <c r="BV75" i="1"/>
  <c r="BW75" i="1"/>
  <c r="AO76" i="1"/>
  <c r="AP76" i="1"/>
  <c r="EC76" i="1" s="1"/>
  <c r="ED76" i="1" s="1"/>
  <c r="BV76" i="1"/>
  <c r="BW76" i="1"/>
  <c r="AO77" i="1"/>
  <c r="AP77" i="1"/>
  <c r="BV77" i="1"/>
  <c r="BW77" i="1" s="1"/>
  <c r="AO78" i="1"/>
  <c r="AP78" i="1"/>
  <c r="EC78" i="1" s="1"/>
  <c r="ED78" i="1" s="1"/>
  <c r="BV78" i="1"/>
  <c r="BW78" i="1"/>
  <c r="AO79" i="1"/>
  <c r="AP79" i="1" s="1"/>
  <c r="EC79" i="1" s="1"/>
  <c r="ED79" i="1" s="1"/>
  <c r="BV79" i="1"/>
  <c r="BW79" i="1"/>
  <c r="AO80" i="1"/>
  <c r="AP80" i="1"/>
  <c r="EC80" i="1" s="1"/>
  <c r="ED80" i="1" s="1"/>
  <c r="BV80" i="1"/>
  <c r="BW80" i="1"/>
  <c r="AO81" i="1"/>
  <c r="AP81" i="1"/>
  <c r="EC81" i="1" s="1"/>
  <c r="ED81" i="1" s="1"/>
  <c r="BV81" i="1"/>
  <c r="BW81" i="1" s="1"/>
  <c r="AO82" i="1"/>
  <c r="AP82" i="1"/>
  <c r="EC82" i="1" s="1"/>
  <c r="ED82" i="1" s="1"/>
  <c r="BV82" i="1"/>
  <c r="BW82" i="1"/>
  <c r="AO83" i="1"/>
  <c r="AP83" i="1" s="1"/>
  <c r="EC83" i="1" s="1"/>
  <c r="ED83" i="1" s="1"/>
  <c r="BV83" i="1"/>
  <c r="BW83" i="1"/>
  <c r="AO84" i="1"/>
  <c r="AP84" i="1"/>
  <c r="EC84" i="1" s="1"/>
  <c r="ED84" i="1" s="1"/>
  <c r="BV84" i="1"/>
  <c r="BW84" i="1"/>
  <c r="AO85" i="1"/>
  <c r="AP85" i="1"/>
  <c r="BV85" i="1"/>
  <c r="BW85" i="1" s="1"/>
  <c r="AO86" i="1"/>
  <c r="AP86" i="1"/>
  <c r="BV86" i="1"/>
  <c r="BW86" i="1"/>
  <c r="EC86" i="1"/>
  <c r="AO87" i="1"/>
  <c r="AP87" i="1" s="1"/>
  <c r="EC87" i="1" s="1"/>
  <c r="ED87" i="1" s="1"/>
  <c r="BV87" i="1"/>
  <c r="BW87" i="1"/>
  <c r="AO88" i="1"/>
  <c r="AP88" i="1"/>
  <c r="EC88" i="1" s="1"/>
  <c r="ED88" i="1" s="1"/>
  <c r="BV88" i="1"/>
  <c r="BW88" i="1"/>
  <c r="AO89" i="1"/>
  <c r="AP89" i="1"/>
  <c r="BV89" i="1"/>
  <c r="BW89" i="1" s="1"/>
  <c r="AO90" i="1"/>
  <c r="AP90" i="1"/>
  <c r="BV90" i="1"/>
  <c r="BW90" i="1"/>
  <c r="EC90" i="1"/>
  <c r="AO91" i="1"/>
  <c r="AP91" i="1" s="1"/>
  <c r="EC91" i="1" s="1"/>
  <c r="ED91" i="1" s="1"/>
  <c r="BV91" i="1"/>
  <c r="BW91" i="1"/>
  <c r="AO92" i="1"/>
  <c r="AP92" i="1" s="1"/>
  <c r="BV92" i="1"/>
  <c r="BW92" i="1" s="1"/>
  <c r="AO93" i="1"/>
  <c r="AP93" i="1"/>
  <c r="BV93" i="1"/>
  <c r="BW93" i="1" s="1"/>
  <c r="AO94" i="1"/>
  <c r="AP94" i="1" s="1"/>
  <c r="EC94" i="1" s="1"/>
  <c r="ED94" i="1" s="1"/>
  <c r="BV94" i="1"/>
  <c r="BW94" i="1" s="1"/>
  <c r="AO95" i="1"/>
  <c r="AP95" i="1" s="1"/>
  <c r="EC95" i="1" s="1"/>
  <c r="ED95" i="1" s="1"/>
  <c r="BV95" i="1"/>
  <c r="BW95" i="1"/>
  <c r="AO96" i="1"/>
  <c r="AP96" i="1" s="1"/>
  <c r="BV96" i="1"/>
  <c r="BW96" i="1" s="1"/>
  <c r="AO97" i="1"/>
  <c r="AP97" i="1"/>
  <c r="EC97" i="1" s="1"/>
  <c r="ED97" i="1" s="1"/>
  <c r="BV97" i="1"/>
  <c r="BW97" i="1" s="1"/>
  <c r="AO98" i="1"/>
  <c r="AP98" i="1" s="1"/>
  <c r="EC98" i="1" s="1"/>
  <c r="ED98" i="1" s="1"/>
  <c r="BV98" i="1"/>
  <c r="BW98" i="1"/>
  <c r="AO99" i="1"/>
  <c r="AP99" i="1" s="1"/>
  <c r="EC99" i="1" s="1"/>
  <c r="ED99" i="1" s="1"/>
  <c r="BV99" i="1"/>
  <c r="BW99" i="1"/>
  <c r="AO100" i="1"/>
  <c r="AP100" i="1" s="1"/>
  <c r="EC100" i="1" s="1"/>
  <c r="ED100" i="1" s="1"/>
  <c r="BV100" i="1"/>
  <c r="BW100" i="1" s="1"/>
  <c r="AO101" i="1"/>
  <c r="AP101" i="1"/>
  <c r="BV101" i="1"/>
  <c r="BW101" i="1" s="1"/>
  <c r="AO102" i="1"/>
  <c r="AP102" i="1" s="1"/>
  <c r="BV102" i="1"/>
  <c r="BW102" i="1" s="1"/>
  <c r="AO103" i="1"/>
  <c r="AP103" i="1" s="1"/>
  <c r="EC103" i="1" s="1"/>
  <c r="ED103" i="1" s="1"/>
  <c r="BV103" i="1"/>
  <c r="BW103" i="1"/>
  <c r="AO104" i="1"/>
  <c r="AP104" i="1" s="1"/>
  <c r="BV104" i="1"/>
  <c r="BW104" i="1" s="1"/>
  <c r="AO105" i="1"/>
  <c r="AP105" i="1"/>
  <c r="BV105" i="1"/>
  <c r="BW105" i="1" s="1"/>
  <c r="AO106" i="1"/>
  <c r="AP106" i="1" s="1"/>
  <c r="BV106" i="1"/>
  <c r="BW106" i="1" s="1"/>
  <c r="ED3" i="1"/>
  <c r="ED4" i="1"/>
  <c r="ED7" i="1"/>
  <c r="ED8" i="1"/>
  <c r="ED9" i="1"/>
  <c r="ED10" i="1"/>
  <c r="ED11" i="1"/>
  <c r="ED13" i="1"/>
  <c r="ED15" i="1"/>
  <c r="ED16" i="1"/>
  <c r="ED20" i="1"/>
  <c r="ED22" i="1"/>
  <c r="ED26" i="1"/>
  <c r="ED27" i="1"/>
  <c r="ED29" i="1"/>
  <c r="ED31" i="1"/>
  <c r="ED41" i="1"/>
  <c r="ED42" i="1"/>
  <c r="ED45" i="1"/>
  <c r="ED57" i="1"/>
  <c r="ED58" i="1"/>
  <c r="ED65" i="1"/>
  <c r="ED66" i="1"/>
  <c r="ED69" i="1"/>
  <c r="ED70" i="1"/>
  <c r="ED86" i="1"/>
  <c r="ED90" i="1"/>
  <c r="DP3" i="1"/>
  <c r="EE3" i="1"/>
  <c r="DP4" i="1"/>
  <c r="EE4" i="1" s="1"/>
  <c r="EF4" i="1" s="1"/>
  <c r="EG4" i="1" s="1"/>
  <c r="DP5" i="1"/>
  <c r="EE5" i="1"/>
  <c r="DP6" i="1"/>
  <c r="EE6" i="1" s="1"/>
  <c r="EF6" i="1" s="1"/>
  <c r="DP7" i="1"/>
  <c r="EE7" i="1"/>
  <c r="DP8" i="1"/>
  <c r="EE8" i="1" s="1"/>
  <c r="EF8" i="1" s="1"/>
  <c r="EG8" i="1" s="1"/>
  <c r="DP9" i="1"/>
  <c r="EE9" i="1"/>
  <c r="DP10" i="1"/>
  <c r="EE10" i="1" s="1"/>
  <c r="EF10" i="1" s="1"/>
  <c r="DP11" i="1"/>
  <c r="EE11" i="1"/>
  <c r="DP12" i="1"/>
  <c r="EE12" i="1" s="1"/>
  <c r="EF12" i="1" s="1"/>
  <c r="EG12" i="1" s="1"/>
  <c r="DP13" i="1"/>
  <c r="EE13" i="1"/>
  <c r="DP14" i="1"/>
  <c r="EE14" i="1" s="1"/>
  <c r="EF14" i="1" s="1"/>
  <c r="DP15" i="1"/>
  <c r="EE15" i="1"/>
  <c r="DP16" i="1"/>
  <c r="EE16" i="1" s="1"/>
  <c r="EF16" i="1" s="1"/>
  <c r="EG16" i="1" s="1"/>
  <c r="DP17" i="1"/>
  <c r="EE17" i="1"/>
  <c r="DP18" i="1"/>
  <c r="EE18" i="1" s="1"/>
  <c r="EF18" i="1" s="1"/>
  <c r="DP19" i="1"/>
  <c r="EE19" i="1"/>
  <c r="DP20" i="1"/>
  <c r="EE20" i="1" s="1"/>
  <c r="EF20" i="1" s="1"/>
  <c r="EG20" i="1" s="1"/>
  <c r="DP21" i="1"/>
  <c r="EE21" i="1"/>
  <c r="EF21" i="1" s="1"/>
  <c r="EG21" i="1" s="1"/>
  <c r="DP22" i="1"/>
  <c r="EE22" i="1" s="1"/>
  <c r="EF22" i="1" s="1"/>
  <c r="DP23" i="1"/>
  <c r="EE23" i="1"/>
  <c r="DP24" i="1"/>
  <c r="EE24" i="1" s="1"/>
  <c r="EF24" i="1" s="1"/>
  <c r="EG24" i="1" s="1"/>
  <c r="DP25" i="1"/>
  <c r="EE25" i="1"/>
  <c r="EF25" i="1" s="1"/>
  <c r="EG25" i="1" s="1"/>
  <c r="DP26" i="1"/>
  <c r="EE26" i="1" s="1"/>
  <c r="EF26" i="1" s="1"/>
  <c r="DP27" i="1"/>
  <c r="EE27" i="1"/>
  <c r="DP28" i="1"/>
  <c r="EE28" i="1" s="1"/>
  <c r="EF28" i="1" s="1"/>
  <c r="EG28" i="1" s="1"/>
  <c r="DP29" i="1"/>
  <c r="EE29" i="1"/>
  <c r="EF29" i="1" s="1"/>
  <c r="EG29" i="1" s="1"/>
  <c r="DP30" i="1"/>
  <c r="EE30" i="1" s="1"/>
  <c r="EF30" i="1" s="1"/>
  <c r="DP31" i="1"/>
  <c r="EE31" i="1"/>
  <c r="DP32" i="1"/>
  <c r="EE32" i="1" s="1"/>
  <c r="EF32" i="1" s="1"/>
  <c r="EG32" i="1" s="1"/>
  <c r="DP33" i="1"/>
  <c r="EE33" i="1"/>
  <c r="EF33" i="1" s="1"/>
  <c r="EG33" i="1" s="1"/>
  <c r="DP34" i="1"/>
  <c r="EE34" i="1" s="1"/>
  <c r="EF34" i="1" s="1"/>
  <c r="DP35" i="1"/>
  <c r="EE35" i="1"/>
  <c r="DP36" i="1"/>
  <c r="EE36" i="1" s="1"/>
  <c r="EF36" i="1" s="1"/>
  <c r="EG36" i="1" s="1"/>
  <c r="DP37" i="1"/>
  <c r="EE37" i="1"/>
  <c r="EF37" i="1" s="1"/>
  <c r="EG37" i="1" s="1"/>
  <c r="DP38" i="1"/>
  <c r="EE38" i="1" s="1"/>
  <c r="EF38" i="1" s="1"/>
  <c r="DP39" i="1"/>
  <c r="EE39" i="1"/>
  <c r="DP40" i="1"/>
  <c r="EE40" i="1" s="1"/>
  <c r="EF40" i="1" s="1"/>
  <c r="EG40" i="1" s="1"/>
  <c r="DP41" i="1"/>
  <c r="EE41" i="1"/>
  <c r="EF41" i="1" s="1"/>
  <c r="EG41" i="1" s="1"/>
  <c r="DP42" i="1"/>
  <c r="EE42" i="1" s="1"/>
  <c r="EF42" i="1" s="1"/>
  <c r="DP43" i="1"/>
  <c r="EE43" i="1"/>
  <c r="DP44" i="1"/>
  <c r="EE44" i="1" s="1"/>
  <c r="EF44" i="1" s="1"/>
  <c r="EG44" i="1" s="1"/>
  <c r="DP45" i="1"/>
  <c r="EE45" i="1"/>
  <c r="EF45" i="1" s="1"/>
  <c r="EG45" i="1" s="1"/>
  <c r="DP46" i="1"/>
  <c r="EE46" i="1" s="1"/>
  <c r="EF46" i="1" s="1"/>
  <c r="DP47" i="1"/>
  <c r="EE47" i="1"/>
  <c r="DP48" i="1"/>
  <c r="EE48" i="1" s="1"/>
  <c r="EF48" i="1" s="1"/>
  <c r="EG48" i="1" s="1"/>
  <c r="DP49" i="1"/>
  <c r="EE49" i="1"/>
  <c r="EF49" i="1" s="1"/>
  <c r="EG49" i="1" s="1"/>
  <c r="DP50" i="1"/>
  <c r="EE50" i="1" s="1"/>
  <c r="EF50" i="1" s="1"/>
  <c r="DP51" i="1"/>
  <c r="EE51" i="1"/>
  <c r="DP52" i="1"/>
  <c r="EE52" i="1" s="1"/>
  <c r="EF52" i="1" s="1"/>
  <c r="EG52" i="1" s="1"/>
  <c r="DP53" i="1"/>
  <c r="EE53" i="1"/>
  <c r="EF53" i="1" s="1"/>
  <c r="EG53" i="1" s="1"/>
  <c r="DP54" i="1"/>
  <c r="EE54" i="1" s="1"/>
  <c r="EF54" i="1" s="1"/>
  <c r="DP55" i="1"/>
  <c r="EE55" i="1"/>
  <c r="DP56" i="1"/>
  <c r="EE56" i="1" s="1"/>
  <c r="EF56" i="1" s="1"/>
  <c r="EG56" i="1" s="1"/>
  <c r="DP57" i="1"/>
  <c r="EE57" i="1"/>
  <c r="EF57" i="1" s="1"/>
  <c r="EG57" i="1" s="1"/>
  <c r="DP58" i="1"/>
  <c r="EE58" i="1" s="1"/>
  <c r="EF58" i="1" s="1"/>
  <c r="DP59" i="1"/>
  <c r="EE59" i="1"/>
  <c r="DP60" i="1"/>
  <c r="EE60" i="1" s="1"/>
  <c r="EF60" i="1" s="1"/>
  <c r="EG60" i="1" s="1"/>
  <c r="DP61" i="1"/>
  <c r="EE61" i="1"/>
  <c r="EF61" i="1" s="1"/>
  <c r="EG61" i="1" s="1"/>
  <c r="DP62" i="1"/>
  <c r="EE62" i="1" s="1"/>
  <c r="EF62" i="1" s="1"/>
  <c r="DP63" i="1"/>
  <c r="EE63" i="1"/>
  <c r="DP64" i="1"/>
  <c r="EE64" i="1" s="1"/>
  <c r="EF64" i="1" s="1"/>
  <c r="EG64" i="1" s="1"/>
  <c r="DP65" i="1"/>
  <c r="EE65" i="1"/>
  <c r="EF65" i="1" s="1"/>
  <c r="EG65" i="1" s="1"/>
  <c r="DP66" i="1"/>
  <c r="EE66" i="1" s="1"/>
  <c r="EF66" i="1" s="1"/>
  <c r="DP67" i="1"/>
  <c r="EE67" i="1"/>
  <c r="DP68" i="1"/>
  <c r="EE68" i="1" s="1"/>
  <c r="EF68" i="1" s="1"/>
  <c r="EG68" i="1" s="1"/>
  <c r="DP69" i="1"/>
  <c r="EE69" i="1"/>
  <c r="EF69" i="1" s="1"/>
  <c r="EG69" i="1" s="1"/>
  <c r="DP70" i="1"/>
  <c r="EE70" i="1" s="1"/>
  <c r="EF70" i="1" s="1"/>
  <c r="DP71" i="1"/>
  <c r="EE71" i="1"/>
  <c r="DP72" i="1"/>
  <c r="EE72" i="1" s="1"/>
  <c r="EF72" i="1" s="1"/>
  <c r="EG72" i="1" s="1"/>
  <c r="DP73" i="1"/>
  <c r="EE73" i="1"/>
  <c r="EF73" i="1" s="1"/>
  <c r="EG73" i="1" s="1"/>
  <c r="DP74" i="1"/>
  <c r="EE74" i="1" s="1"/>
  <c r="EF74" i="1" s="1"/>
  <c r="DP75" i="1"/>
  <c r="EE75" i="1"/>
  <c r="DP76" i="1"/>
  <c r="EE76" i="1" s="1"/>
  <c r="EF76" i="1" s="1"/>
  <c r="EG76" i="1" s="1"/>
  <c r="DP77" i="1"/>
  <c r="EE77" i="1"/>
  <c r="EF77" i="1" s="1"/>
  <c r="EG77" i="1" s="1"/>
  <c r="DP78" i="1"/>
  <c r="EE78" i="1" s="1"/>
  <c r="EF78" i="1" s="1"/>
  <c r="DP79" i="1"/>
  <c r="EE79" i="1"/>
  <c r="DP80" i="1"/>
  <c r="EE80" i="1" s="1"/>
  <c r="EF80" i="1" s="1"/>
  <c r="EG80" i="1" s="1"/>
  <c r="DP81" i="1"/>
  <c r="EE81" i="1"/>
  <c r="EF81" i="1" s="1"/>
  <c r="EG81" i="1" s="1"/>
  <c r="DP82" i="1"/>
  <c r="EE82" i="1" s="1"/>
  <c r="EF82" i="1" s="1"/>
  <c r="DP83" i="1"/>
  <c r="EE83" i="1"/>
  <c r="DP84" i="1"/>
  <c r="EE84" i="1" s="1"/>
  <c r="EF84" i="1" s="1"/>
  <c r="EG84" i="1" s="1"/>
  <c r="DP85" i="1"/>
  <c r="EE85" i="1"/>
  <c r="EF85" i="1" s="1"/>
  <c r="EG85" i="1" s="1"/>
  <c r="DP86" i="1"/>
  <c r="EE86" i="1" s="1"/>
  <c r="EF86" i="1" s="1"/>
  <c r="DP87" i="1"/>
  <c r="EE87" i="1"/>
  <c r="EF87" i="1" s="1"/>
  <c r="EG87" i="1" s="1"/>
  <c r="DP88" i="1"/>
  <c r="EE88" i="1" s="1"/>
  <c r="EF88" i="1" s="1"/>
  <c r="EG88" i="1" s="1"/>
  <c r="DP89" i="1"/>
  <c r="EE89" i="1"/>
  <c r="EF89" i="1" s="1"/>
  <c r="EG89" i="1" s="1"/>
  <c r="DP90" i="1"/>
  <c r="EE90" i="1" s="1"/>
  <c r="EF90" i="1" s="1"/>
  <c r="DP91" i="1"/>
  <c r="EE91" i="1"/>
  <c r="DP92" i="1"/>
  <c r="EE92" i="1" s="1"/>
  <c r="EF92" i="1" s="1"/>
  <c r="EG92" i="1" s="1"/>
  <c r="DP93" i="1"/>
  <c r="EE93" i="1"/>
  <c r="EF93" i="1" s="1"/>
  <c r="EG93" i="1" s="1"/>
  <c r="DP94" i="1"/>
  <c r="EE94" i="1" s="1"/>
  <c r="EF94" i="1" s="1"/>
  <c r="DP95" i="1"/>
  <c r="EE95" i="1"/>
  <c r="DP96" i="1"/>
  <c r="EE96" i="1" s="1"/>
  <c r="EF96" i="1" s="1"/>
  <c r="EG96" i="1" s="1"/>
  <c r="DP97" i="1"/>
  <c r="EE97" i="1"/>
  <c r="EF97" i="1" s="1"/>
  <c r="EG97" i="1" s="1"/>
  <c r="DP98" i="1"/>
  <c r="EE98" i="1" s="1"/>
  <c r="EF98" i="1" s="1"/>
  <c r="DP99" i="1"/>
  <c r="EE99" i="1"/>
  <c r="DP100" i="1"/>
  <c r="EE100" i="1" s="1"/>
  <c r="EF100" i="1" s="1"/>
  <c r="EG100" i="1" s="1"/>
  <c r="DP101" i="1"/>
  <c r="EE101" i="1"/>
  <c r="EF101" i="1" s="1"/>
  <c r="EG101" i="1" s="1"/>
  <c r="DP102" i="1"/>
  <c r="EE102" i="1" s="1"/>
  <c r="EF102" i="1" s="1"/>
  <c r="DP103" i="1"/>
  <c r="EE103" i="1"/>
  <c r="EF103" i="1" s="1"/>
  <c r="EG103" i="1" s="1"/>
  <c r="DP104" i="1"/>
  <c r="EE104" i="1" s="1"/>
  <c r="EF104" i="1" s="1"/>
  <c r="EG104" i="1" s="1"/>
  <c r="DP105" i="1"/>
  <c r="EE105" i="1"/>
  <c r="EF105" i="1" s="1"/>
  <c r="EG105" i="1" s="1"/>
  <c r="DP106" i="1"/>
  <c r="EE106" i="1" s="1"/>
  <c r="EF106" i="1" s="1"/>
  <c r="EG106" i="1" s="1"/>
  <c r="EF3" i="1"/>
  <c r="EG3" i="1" s="1"/>
  <c r="EF5" i="1"/>
  <c r="EG5" i="1" s="1"/>
  <c r="EF7" i="1"/>
  <c r="EG7" i="1" s="1"/>
  <c r="EF9" i="1"/>
  <c r="EG9" i="1" s="1"/>
  <c r="EF11" i="1"/>
  <c r="EG11" i="1" s="1"/>
  <c r="EF13" i="1"/>
  <c r="EG13" i="1" s="1"/>
  <c r="EF15" i="1"/>
  <c r="EG15" i="1" s="1"/>
  <c r="EF17" i="1"/>
  <c r="EG17" i="1" s="1"/>
  <c r="EF19" i="1"/>
  <c r="EG19" i="1" s="1"/>
  <c r="EF23" i="1"/>
  <c r="EF27" i="1"/>
  <c r="EF31" i="1"/>
  <c r="EF35" i="1"/>
  <c r="EG35" i="1" s="1"/>
  <c r="EF39" i="1"/>
  <c r="EF43" i="1"/>
  <c r="EF47" i="1"/>
  <c r="EF51" i="1"/>
  <c r="EG51" i="1" s="1"/>
  <c r="EF55" i="1"/>
  <c r="EF59" i="1"/>
  <c r="EF63" i="1"/>
  <c r="EF67" i="1"/>
  <c r="EG67" i="1" s="1"/>
  <c r="EF71" i="1"/>
  <c r="EF75" i="1"/>
  <c r="EF79" i="1"/>
  <c r="EF83" i="1"/>
  <c r="EG83" i="1" s="1"/>
  <c r="EF91" i="1"/>
  <c r="EF95" i="1"/>
  <c r="EF99" i="1"/>
  <c r="EG99" i="1" s="1"/>
  <c r="EG6" i="1"/>
  <c r="EG10" i="1"/>
  <c r="EG14" i="1"/>
  <c r="EG18" i="1"/>
  <c r="EG22" i="1"/>
  <c r="EG23" i="1"/>
  <c r="EG26" i="1"/>
  <c r="EG27" i="1"/>
  <c r="EG30" i="1"/>
  <c r="EG31" i="1"/>
  <c r="EG34" i="1"/>
  <c r="EG38" i="1"/>
  <c r="EG39" i="1"/>
  <c r="EG42" i="1"/>
  <c r="EG43" i="1"/>
  <c r="EG46" i="1"/>
  <c r="EG47" i="1"/>
  <c r="EG50" i="1"/>
  <c r="EG54" i="1"/>
  <c r="EG55" i="1"/>
  <c r="EG58" i="1"/>
  <c r="EG59" i="1"/>
  <c r="EG62" i="1"/>
  <c r="EG63" i="1"/>
  <c r="EG66" i="1"/>
  <c r="EG70" i="1"/>
  <c r="EG71" i="1"/>
  <c r="EG74" i="1"/>
  <c r="EG75" i="1"/>
  <c r="EG78" i="1"/>
  <c r="EG79" i="1"/>
  <c r="EG82" i="1"/>
  <c r="EG86" i="1"/>
  <c r="EG90" i="1"/>
  <c r="EG91" i="1"/>
  <c r="EG94" i="1"/>
  <c r="EG95" i="1"/>
  <c r="EG98" i="1"/>
  <c r="EG102" i="1"/>
  <c r="N2" i="1"/>
  <c r="N107" i="1"/>
  <c r="N109" i="1"/>
  <c r="L2" i="1"/>
  <c r="O2" i="1" s="1"/>
  <c r="O109" i="1" s="1"/>
  <c r="L107" i="1"/>
  <c r="O107" i="1"/>
  <c r="N3" i="1"/>
  <c r="N4" i="1"/>
  <c r="N5" i="1"/>
  <c r="N6" i="1"/>
  <c r="N7" i="1"/>
  <c r="N8" i="1"/>
  <c r="N9" i="1"/>
  <c r="N10" i="1"/>
  <c r="N11" i="1"/>
  <c r="N12" i="1"/>
  <c r="N13" i="1"/>
  <c r="O13" i="1" s="1"/>
  <c r="N14" i="1"/>
  <c r="N15" i="1"/>
  <c r="N16" i="1"/>
  <c r="N17" i="1"/>
  <c r="N18" i="1"/>
  <c r="N19" i="1"/>
  <c r="N20" i="1"/>
  <c r="N21" i="1"/>
  <c r="O21" i="1" s="1"/>
  <c r="N22" i="1"/>
  <c r="N23" i="1"/>
  <c r="N24" i="1"/>
  <c r="N25" i="1"/>
  <c r="O25" i="1" s="1"/>
  <c r="N26" i="1"/>
  <c r="N27" i="1"/>
  <c r="N28" i="1"/>
  <c r="N29" i="1"/>
  <c r="O29" i="1" s="1"/>
  <c r="N30" i="1"/>
  <c r="N31" i="1"/>
  <c r="N32" i="1"/>
  <c r="N33" i="1"/>
  <c r="O33" i="1" s="1"/>
  <c r="N34" i="1"/>
  <c r="N35" i="1"/>
  <c r="N36" i="1"/>
  <c r="N37" i="1"/>
  <c r="O37" i="1" s="1"/>
  <c r="N38" i="1"/>
  <c r="N39" i="1"/>
  <c r="N40" i="1"/>
  <c r="N41" i="1"/>
  <c r="O41" i="1" s="1"/>
  <c r="N42" i="1"/>
  <c r="N43" i="1"/>
  <c r="N44" i="1"/>
  <c r="N45" i="1"/>
  <c r="O45" i="1" s="1"/>
  <c r="N46" i="1"/>
  <c r="N47" i="1"/>
  <c r="N48" i="1"/>
  <c r="N49" i="1"/>
  <c r="O49" i="1" s="1"/>
  <c r="N50" i="1"/>
  <c r="N51" i="1"/>
  <c r="N52" i="1"/>
  <c r="N53" i="1"/>
  <c r="O53" i="1" s="1"/>
  <c r="N54" i="1"/>
  <c r="N55" i="1"/>
  <c r="N56" i="1"/>
  <c r="N57" i="1"/>
  <c r="O57" i="1" s="1"/>
  <c r="N58" i="1"/>
  <c r="N59" i="1"/>
  <c r="N60" i="1"/>
  <c r="N61" i="1"/>
  <c r="O61" i="1" s="1"/>
  <c r="N62" i="1"/>
  <c r="N63" i="1"/>
  <c r="N64" i="1"/>
  <c r="N65" i="1"/>
  <c r="O65" i="1" s="1"/>
  <c r="N66" i="1"/>
  <c r="N67" i="1"/>
  <c r="N68" i="1"/>
  <c r="N69" i="1"/>
  <c r="O69" i="1" s="1"/>
  <c r="N70" i="1"/>
  <c r="N71" i="1"/>
  <c r="N72" i="1"/>
  <c r="N73" i="1"/>
  <c r="O73" i="1" s="1"/>
  <c r="N74" i="1"/>
  <c r="N75" i="1"/>
  <c r="N76" i="1"/>
  <c r="N77" i="1"/>
  <c r="O77" i="1" s="1"/>
  <c r="N78" i="1"/>
  <c r="N79" i="1"/>
  <c r="N80" i="1"/>
  <c r="N81" i="1"/>
  <c r="O81" i="1" s="1"/>
  <c r="N82" i="1"/>
  <c r="N83" i="1"/>
  <c r="N84" i="1"/>
  <c r="N85" i="1"/>
  <c r="O85" i="1" s="1"/>
  <c r="N86" i="1"/>
  <c r="N87" i="1"/>
  <c r="N88" i="1"/>
  <c r="N89" i="1"/>
  <c r="O89" i="1" s="1"/>
  <c r="N90" i="1"/>
  <c r="N91" i="1"/>
  <c r="N92" i="1"/>
  <c r="N93" i="1"/>
  <c r="O93" i="1" s="1"/>
  <c r="N94" i="1"/>
  <c r="N95" i="1"/>
  <c r="N96" i="1"/>
  <c r="N97" i="1"/>
  <c r="O97" i="1" s="1"/>
  <c r="N98" i="1"/>
  <c r="N99" i="1"/>
  <c r="N100" i="1"/>
  <c r="N101" i="1"/>
  <c r="O101" i="1" s="1"/>
  <c r="N102" i="1"/>
  <c r="N103" i="1"/>
  <c r="N104" i="1"/>
  <c r="N105" i="1"/>
  <c r="O105" i="1" s="1"/>
  <c r="N106" i="1"/>
  <c r="L3" i="1"/>
  <c r="O3" i="1"/>
  <c r="L4" i="1"/>
  <c r="O4" i="1" s="1"/>
  <c r="L5" i="1"/>
  <c r="L6" i="1"/>
  <c r="L7" i="1"/>
  <c r="O7" i="1"/>
  <c r="L8" i="1"/>
  <c r="O8" i="1" s="1"/>
  <c r="L9" i="1"/>
  <c r="O9" i="1"/>
  <c r="L10" i="1"/>
  <c r="L11" i="1"/>
  <c r="O11" i="1"/>
  <c r="L12" i="1"/>
  <c r="O12" i="1" s="1"/>
  <c r="L13" i="1"/>
  <c r="L14" i="1"/>
  <c r="L15" i="1"/>
  <c r="O15" i="1"/>
  <c r="L16" i="1"/>
  <c r="O16" i="1" s="1"/>
  <c r="L17" i="1"/>
  <c r="O17" i="1"/>
  <c r="L18" i="1"/>
  <c r="L19" i="1"/>
  <c r="O19" i="1"/>
  <c r="L20" i="1"/>
  <c r="O20" i="1" s="1"/>
  <c r="L21" i="1"/>
  <c r="L22" i="1"/>
  <c r="O22" i="1"/>
  <c r="L23" i="1"/>
  <c r="O23" i="1"/>
  <c r="L24" i="1"/>
  <c r="O24" i="1"/>
  <c r="L25" i="1"/>
  <c r="L26" i="1"/>
  <c r="O26" i="1"/>
  <c r="L27" i="1"/>
  <c r="O27" i="1"/>
  <c r="L28" i="1"/>
  <c r="O28" i="1"/>
  <c r="L29" i="1"/>
  <c r="L30" i="1"/>
  <c r="O30" i="1"/>
  <c r="L31" i="1"/>
  <c r="O31" i="1"/>
  <c r="L32" i="1"/>
  <c r="O32" i="1"/>
  <c r="L33" i="1"/>
  <c r="L34" i="1"/>
  <c r="O34" i="1"/>
  <c r="L35" i="1"/>
  <c r="O35" i="1"/>
  <c r="L36" i="1"/>
  <c r="O36" i="1"/>
  <c r="L37" i="1"/>
  <c r="L38" i="1"/>
  <c r="O38" i="1"/>
  <c r="L39" i="1"/>
  <c r="O39" i="1"/>
  <c r="L40" i="1"/>
  <c r="O40" i="1"/>
  <c r="L41" i="1"/>
  <c r="L42" i="1"/>
  <c r="O42" i="1"/>
  <c r="L43" i="1"/>
  <c r="O43" i="1"/>
  <c r="L44" i="1"/>
  <c r="O44" i="1"/>
  <c r="L45" i="1"/>
  <c r="L46" i="1"/>
  <c r="O46" i="1"/>
  <c r="L47" i="1"/>
  <c r="O47" i="1"/>
  <c r="L48" i="1"/>
  <c r="O48" i="1"/>
  <c r="L49" i="1"/>
  <c r="L50" i="1"/>
  <c r="O50" i="1"/>
  <c r="L51" i="1"/>
  <c r="O51" i="1"/>
  <c r="L52" i="1"/>
  <c r="O52" i="1"/>
  <c r="L53" i="1"/>
  <c r="L54" i="1"/>
  <c r="O54" i="1"/>
  <c r="L55" i="1"/>
  <c r="O55" i="1"/>
  <c r="L56" i="1"/>
  <c r="O56" i="1"/>
  <c r="L57" i="1"/>
  <c r="L58" i="1"/>
  <c r="O58" i="1"/>
  <c r="L59" i="1"/>
  <c r="O59" i="1"/>
  <c r="L60" i="1"/>
  <c r="O60" i="1"/>
  <c r="L61" i="1"/>
  <c r="L62" i="1"/>
  <c r="O62" i="1"/>
  <c r="L63" i="1"/>
  <c r="O63" i="1"/>
  <c r="L64" i="1"/>
  <c r="O64" i="1"/>
  <c r="L65" i="1"/>
  <c r="L66" i="1"/>
  <c r="O66" i="1"/>
  <c r="L67" i="1"/>
  <c r="O67" i="1"/>
  <c r="L68" i="1"/>
  <c r="O68" i="1"/>
  <c r="L69" i="1"/>
  <c r="L70" i="1"/>
  <c r="O70" i="1"/>
  <c r="L71" i="1"/>
  <c r="O71" i="1"/>
  <c r="L72" i="1"/>
  <c r="O72" i="1"/>
  <c r="L73" i="1"/>
  <c r="L74" i="1"/>
  <c r="O74" i="1"/>
  <c r="L75" i="1"/>
  <c r="O75" i="1"/>
  <c r="L76" i="1"/>
  <c r="O76" i="1"/>
  <c r="L77" i="1"/>
  <c r="L78" i="1"/>
  <c r="O78" i="1"/>
  <c r="L79" i="1"/>
  <c r="O79" i="1"/>
  <c r="L80" i="1"/>
  <c r="O80" i="1"/>
  <c r="L81" i="1"/>
  <c r="L82" i="1"/>
  <c r="O82" i="1"/>
  <c r="L83" i="1"/>
  <c r="O83" i="1"/>
  <c r="L84" i="1"/>
  <c r="O84" i="1"/>
  <c r="L85" i="1"/>
  <c r="L86" i="1"/>
  <c r="O86" i="1"/>
  <c r="L87" i="1"/>
  <c r="O87" i="1"/>
  <c r="L88" i="1"/>
  <c r="O88" i="1"/>
  <c r="L89" i="1"/>
  <c r="L90" i="1"/>
  <c r="O90" i="1"/>
  <c r="L91" i="1"/>
  <c r="O91" i="1"/>
  <c r="L92" i="1"/>
  <c r="O92" i="1"/>
  <c r="L93" i="1"/>
  <c r="L94" i="1"/>
  <c r="O94" i="1"/>
  <c r="L95" i="1"/>
  <c r="O95" i="1"/>
  <c r="L96" i="1"/>
  <c r="O96" i="1"/>
  <c r="L97" i="1"/>
  <c r="L98" i="1"/>
  <c r="O98" i="1"/>
  <c r="L99" i="1"/>
  <c r="O99" i="1"/>
  <c r="L100" i="1"/>
  <c r="O100" i="1"/>
  <c r="L101" i="1"/>
  <c r="L102" i="1"/>
  <c r="O102" i="1"/>
  <c r="L103" i="1"/>
  <c r="O103" i="1"/>
  <c r="L104" i="1"/>
  <c r="O104" i="1"/>
  <c r="L105" i="1"/>
  <c r="L106" i="1"/>
  <c r="O106" i="1"/>
  <c r="L109" i="1"/>
  <c r="CX2" i="1"/>
  <c r="CX109" i="1" s="1"/>
  <c r="CX107" i="1"/>
  <c r="CO2" i="1"/>
  <c r="CY2" i="1"/>
  <c r="CY109" i="1" s="1"/>
  <c r="CO107" i="1"/>
  <c r="CY107" i="1"/>
  <c r="CX3" i="1"/>
  <c r="CY3" i="1" s="1"/>
  <c r="CX4" i="1"/>
  <c r="CX5" i="1"/>
  <c r="CX6" i="1"/>
  <c r="CX7" i="1"/>
  <c r="CY7" i="1" s="1"/>
  <c r="CX8" i="1"/>
  <c r="CX9" i="1"/>
  <c r="CX10" i="1"/>
  <c r="CX11" i="1"/>
  <c r="CY11" i="1" s="1"/>
  <c r="CX12" i="1"/>
  <c r="CX13" i="1"/>
  <c r="CX14" i="1"/>
  <c r="CX15" i="1"/>
  <c r="CY15" i="1" s="1"/>
  <c r="CX16" i="1"/>
  <c r="CX17" i="1"/>
  <c r="CX18" i="1"/>
  <c r="CX19" i="1"/>
  <c r="CY19" i="1" s="1"/>
  <c r="CX20" i="1"/>
  <c r="CX21" i="1"/>
  <c r="CX22" i="1"/>
  <c r="CX23" i="1"/>
  <c r="CY23" i="1" s="1"/>
  <c r="CX24" i="1"/>
  <c r="CX25" i="1"/>
  <c r="CX26" i="1"/>
  <c r="CX27" i="1"/>
  <c r="CY27" i="1" s="1"/>
  <c r="CX28" i="1"/>
  <c r="CX29" i="1"/>
  <c r="CX30" i="1"/>
  <c r="CX31" i="1"/>
  <c r="CY31" i="1" s="1"/>
  <c r="CX32" i="1"/>
  <c r="CX33" i="1"/>
  <c r="CX34" i="1"/>
  <c r="CX35" i="1"/>
  <c r="CY35" i="1" s="1"/>
  <c r="CX36" i="1"/>
  <c r="CX37" i="1"/>
  <c r="CX38" i="1"/>
  <c r="CX39" i="1"/>
  <c r="CY39" i="1" s="1"/>
  <c r="CX40" i="1"/>
  <c r="CX41" i="1"/>
  <c r="CX42" i="1"/>
  <c r="CX43" i="1"/>
  <c r="CY43" i="1" s="1"/>
  <c r="CX44" i="1"/>
  <c r="CX45" i="1"/>
  <c r="CX46" i="1"/>
  <c r="CX47" i="1"/>
  <c r="CY47" i="1" s="1"/>
  <c r="CX48" i="1"/>
  <c r="CX49" i="1"/>
  <c r="CX50" i="1"/>
  <c r="CX51" i="1"/>
  <c r="CY51" i="1" s="1"/>
  <c r="CX52" i="1"/>
  <c r="CX53" i="1"/>
  <c r="CX54" i="1"/>
  <c r="CX55" i="1"/>
  <c r="CY55" i="1" s="1"/>
  <c r="CX56" i="1"/>
  <c r="CX57" i="1"/>
  <c r="CX58" i="1"/>
  <c r="CX59" i="1"/>
  <c r="CY59" i="1" s="1"/>
  <c r="CX60" i="1"/>
  <c r="CX61" i="1"/>
  <c r="CX62" i="1"/>
  <c r="CX63" i="1"/>
  <c r="CY63" i="1" s="1"/>
  <c r="CX64" i="1"/>
  <c r="CX65" i="1"/>
  <c r="CX66" i="1"/>
  <c r="CX67" i="1"/>
  <c r="CY67" i="1" s="1"/>
  <c r="CX68" i="1"/>
  <c r="CX69" i="1"/>
  <c r="CX70" i="1"/>
  <c r="CX71" i="1"/>
  <c r="CY71" i="1" s="1"/>
  <c r="CX72" i="1"/>
  <c r="CX73" i="1"/>
  <c r="CX74" i="1"/>
  <c r="CX75" i="1"/>
  <c r="CY75" i="1" s="1"/>
  <c r="CX76" i="1"/>
  <c r="CX77" i="1"/>
  <c r="CX78" i="1"/>
  <c r="CX79" i="1"/>
  <c r="CY79" i="1" s="1"/>
  <c r="CX80" i="1"/>
  <c r="CX81" i="1"/>
  <c r="CX82" i="1"/>
  <c r="CX83" i="1"/>
  <c r="CY83" i="1" s="1"/>
  <c r="CX84" i="1"/>
  <c r="CX85" i="1"/>
  <c r="CX86" i="1"/>
  <c r="CX87" i="1"/>
  <c r="CY87" i="1" s="1"/>
  <c r="CX88" i="1"/>
  <c r="CX89" i="1"/>
  <c r="CX90" i="1"/>
  <c r="CX91" i="1"/>
  <c r="CY91" i="1" s="1"/>
  <c r="CX92" i="1"/>
  <c r="CX93" i="1"/>
  <c r="CX94" i="1"/>
  <c r="CX95" i="1"/>
  <c r="CY95" i="1" s="1"/>
  <c r="CX96" i="1"/>
  <c r="CX97" i="1"/>
  <c r="CX98" i="1"/>
  <c r="CX99" i="1"/>
  <c r="CY99" i="1" s="1"/>
  <c r="CX100" i="1"/>
  <c r="CX101" i="1"/>
  <c r="CX102" i="1"/>
  <c r="CX103" i="1"/>
  <c r="CY103" i="1" s="1"/>
  <c r="CX104" i="1"/>
  <c r="CX105" i="1"/>
  <c r="CX106" i="1"/>
  <c r="CX108" i="1"/>
  <c r="CO3" i="1"/>
  <c r="CO4" i="1"/>
  <c r="CY4" i="1"/>
  <c r="CO5" i="1"/>
  <c r="CY5" i="1" s="1"/>
  <c r="CO6" i="1"/>
  <c r="CY6" i="1"/>
  <c r="CO7" i="1"/>
  <c r="CO8" i="1"/>
  <c r="CY8" i="1"/>
  <c r="CO9" i="1"/>
  <c r="CY9" i="1" s="1"/>
  <c r="CO10" i="1"/>
  <c r="CY10" i="1"/>
  <c r="CO11" i="1"/>
  <c r="CO12" i="1"/>
  <c r="CY12" i="1"/>
  <c r="CO13" i="1"/>
  <c r="CY13" i="1" s="1"/>
  <c r="CO14" i="1"/>
  <c r="CY14" i="1"/>
  <c r="CO15" i="1"/>
  <c r="CO16" i="1"/>
  <c r="CY16" i="1"/>
  <c r="CO17" i="1"/>
  <c r="CY17" i="1" s="1"/>
  <c r="CO18" i="1"/>
  <c r="CY18" i="1"/>
  <c r="CO19" i="1"/>
  <c r="CO20" i="1"/>
  <c r="CY20" i="1"/>
  <c r="CO21" i="1"/>
  <c r="CY21" i="1" s="1"/>
  <c r="CO22" i="1"/>
  <c r="CY22" i="1"/>
  <c r="CO23" i="1"/>
  <c r="CO24" i="1"/>
  <c r="CY24" i="1"/>
  <c r="CO25" i="1"/>
  <c r="CY25" i="1" s="1"/>
  <c r="CO26" i="1"/>
  <c r="CY26" i="1"/>
  <c r="CO27" i="1"/>
  <c r="CO28" i="1"/>
  <c r="CY28" i="1"/>
  <c r="CO29" i="1"/>
  <c r="CY29" i="1" s="1"/>
  <c r="CO30" i="1"/>
  <c r="CY30" i="1"/>
  <c r="CO31" i="1"/>
  <c r="CO32" i="1"/>
  <c r="CY32" i="1"/>
  <c r="CO33" i="1"/>
  <c r="CY33" i="1" s="1"/>
  <c r="CO34" i="1"/>
  <c r="CY34" i="1"/>
  <c r="CO35" i="1"/>
  <c r="CO36" i="1"/>
  <c r="CY36" i="1"/>
  <c r="CO37" i="1"/>
  <c r="CY37" i="1" s="1"/>
  <c r="CO38" i="1"/>
  <c r="CY38" i="1"/>
  <c r="CO39" i="1"/>
  <c r="CO40" i="1"/>
  <c r="CY40" i="1"/>
  <c r="CO41" i="1"/>
  <c r="CY41" i="1" s="1"/>
  <c r="CO42" i="1"/>
  <c r="CY42" i="1"/>
  <c r="CO43" i="1"/>
  <c r="CO44" i="1"/>
  <c r="CY44" i="1"/>
  <c r="CO45" i="1"/>
  <c r="CY45" i="1" s="1"/>
  <c r="CO46" i="1"/>
  <c r="CY46" i="1"/>
  <c r="CO47" i="1"/>
  <c r="CO48" i="1"/>
  <c r="CY48" i="1"/>
  <c r="CO49" i="1"/>
  <c r="CY49" i="1" s="1"/>
  <c r="CO50" i="1"/>
  <c r="CY50" i="1"/>
  <c r="CO51" i="1"/>
  <c r="CO52" i="1"/>
  <c r="CY52" i="1"/>
  <c r="CO53" i="1"/>
  <c r="CY53" i="1" s="1"/>
  <c r="CO54" i="1"/>
  <c r="CY54" i="1"/>
  <c r="CO55" i="1"/>
  <c r="CO56" i="1"/>
  <c r="CY56" i="1"/>
  <c r="CO57" i="1"/>
  <c r="CY57" i="1" s="1"/>
  <c r="CO58" i="1"/>
  <c r="CY58" i="1"/>
  <c r="CO59" i="1"/>
  <c r="CO60" i="1"/>
  <c r="CY60" i="1"/>
  <c r="CO61" i="1"/>
  <c r="CY61" i="1" s="1"/>
  <c r="CO62" i="1"/>
  <c r="CY62" i="1"/>
  <c r="CO63" i="1"/>
  <c r="CO64" i="1"/>
  <c r="CY64" i="1"/>
  <c r="CO65" i="1"/>
  <c r="CY65" i="1" s="1"/>
  <c r="CO66" i="1"/>
  <c r="CY66" i="1"/>
  <c r="CO67" i="1"/>
  <c r="CO68" i="1"/>
  <c r="CY68" i="1"/>
  <c r="CO69" i="1"/>
  <c r="CY69" i="1" s="1"/>
  <c r="CO70" i="1"/>
  <c r="CY70" i="1"/>
  <c r="CO71" i="1"/>
  <c r="CO72" i="1"/>
  <c r="CY72" i="1"/>
  <c r="CO73" i="1"/>
  <c r="CY73" i="1" s="1"/>
  <c r="CO74" i="1"/>
  <c r="CY74" i="1"/>
  <c r="CO75" i="1"/>
  <c r="CO76" i="1"/>
  <c r="CY76" i="1"/>
  <c r="CO77" i="1"/>
  <c r="CY77" i="1" s="1"/>
  <c r="CO78" i="1"/>
  <c r="CY78" i="1"/>
  <c r="CO79" i="1"/>
  <c r="CO80" i="1"/>
  <c r="CY80" i="1"/>
  <c r="CO81" i="1"/>
  <c r="CY81" i="1" s="1"/>
  <c r="CO82" i="1"/>
  <c r="CY82" i="1"/>
  <c r="CO83" i="1"/>
  <c r="CO84" i="1"/>
  <c r="CY84" i="1"/>
  <c r="CO85" i="1"/>
  <c r="CY85" i="1" s="1"/>
  <c r="CO86" i="1"/>
  <c r="CY86" i="1"/>
  <c r="CO87" i="1"/>
  <c r="CO88" i="1"/>
  <c r="CY88" i="1"/>
  <c r="CO89" i="1"/>
  <c r="CY89" i="1" s="1"/>
  <c r="CO90" i="1"/>
  <c r="CY90" i="1"/>
  <c r="CO91" i="1"/>
  <c r="CO92" i="1"/>
  <c r="CY92" i="1"/>
  <c r="CO93" i="1"/>
  <c r="CY93" i="1" s="1"/>
  <c r="CO94" i="1"/>
  <c r="CY94" i="1"/>
  <c r="CO95" i="1"/>
  <c r="CO96" i="1"/>
  <c r="CY96" i="1"/>
  <c r="CO97" i="1"/>
  <c r="CY97" i="1" s="1"/>
  <c r="CO98" i="1"/>
  <c r="CY98" i="1"/>
  <c r="CO99" i="1"/>
  <c r="CO100" i="1"/>
  <c r="CY100" i="1"/>
  <c r="CO101" i="1"/>
  <c r="CY101" i="1" s="1"/>
  <c r="CO102" i="1"/>
  <c r="CY102" i="1"/>
  <c r="CO103" i="1"/>
  <c r="CO104" i="1"/>
  <c r="CY104" i="1"/>
  <c r="CO105" i="1"/>
  <c r="CY105" i="1" s="1"/>
  <c r="CO106" i="1"/>
  <c r="CY106" i="1"/>
  <c r="CO109" i="1"/>
  <c r="CO108" i="1"/>
  <c r="CB106" i="1"/>
  <c r="CB109" i="1" s="1"/>
  <c r="CB2" i="1"/>
  <c r="BH106" i="1"/>
  <c r="CC106" i="1"/>
  <c r="CC109" i="1" s="1"/>
  <c r="BH2" i="1"/>
  <c r="CC2" i="1"/>
  <c r="CA109" i="1"/>
  <c r="CB67" i="1"/>
  <c r="CB68" i="1"/>
  <c r="CB69" i="1"/>
  <c r="CB70" i="1"/>
  <c r="CB71" i="1"/>
  <c r="CB72" i="1"/>
  <c r="CB73" i="1"/>
  <c r="CB74" i="1"/>
  <c r="CB75" i="1"/>
  <c r="CB76" i="1"/>
  <c r="CB77" i="1"/>
  <c r="CB78" i="1"/>
  <c r="CB79" i="1"/>
  <c r="CB80" i="1"/>
  <c r="CB81" i="1"/>
  <c r="CB82" i="1"/>
  <c r="CB83" i="1"/>
  <c r="CB84" i="1"/>
  <c r="CB85" i="1"/>
  <c r="CB86" i="1"/>
  <c r="CB87" i="1"/>
  <c r="CB88" i="1"/>
  <c r="CB89" i="1"/>
  <c r="CB90" i="1"/>
  <c r="CB91" i="1"/>
  <c r="CB92" i="1"/>
  <c r="CB93" i="1"/>
  <c r="CB94" i="1"/>
  <c r="CB95" i="1"/>
  <c r="CB96" i="1"/>
  <c r="CB97" i="1"/>
  <c r="CB98" i="1"/>
  <c r="CB99" i="1"/>
  <c r="CB100" i="1"/>
  <c r="CB101" i="1"/>
  <c r="CB102" i="1"/>
  <c r="CB103" i="1"/>
  <c r="CB104" i="1"/>
  <c r="CB105" i="1"/>
  <c r="CB3" i="1"/>
  <c r="CB4" i="1"/>
  <c r="CB5" i="1"/>
  <c r="CB6" i="1"/>
  <c r="CB7" i="1"/>
  <c r="CB8" i="1"/>
  <c r="CB9" i="1"/>
  <c r="CB10" i="1"/>
  <c r="CB11" i="1"/>
  <c r="CB12" i="1"/>
  <c r="CB13" i="1"/>
  <c r="CB14" i="1"/>
  <c r="CB15" i="1"/>
  <c r="CB16" i="1"/>
  <c r="CB17" i="1"/>
  <c r="CB18" i="1"/>
  <c r="CB19" i="1"/>
  <c r="CB20" i="1"/>
  <c r="CB21" i="1"/>
  <c r="CB22" i="1"/>
  <c r="CB23" i="1"/>
  <c r="CB24" i="1"/>
  <c r="CB25" i="1"/>
  <c r="CB26" i="1"/>
  <c r="CB27" i="1"/>
  <c r="CB28" i="1"/>
  <c r="CB29" i="1"/>
  <c r="CB30" i="1"/>
  <c r="CB31" i="1"/>
  <c r="CB32" i="1"/>
  <c r="CB33" i="1"/>
  <c r="CB34" i="1"/>
  <c r="CB35" i="1"/>
  <c r="CB36" i="1"/>
  <c r="CB37" i="1"/>
  <c r="CB38" i="1"/>
  <c r="CB39" i="1"/>
  <c r="CB40" i="1"/>
  <c r="CB41" i="1"/>
  <c r="CB42" i="1"/>
  <c r="CB43" i="1"/>
  <c r="CB44" i="1"/>
  <c r="CB45" i="1"/>
  <c r="CB46" i="1"/>
  <c r="CB47" i="1"/>
  <c r="CB48" i="1"/>
  <c r="CB49" i="1"/>
  <c r="CB50" i="1"/>
  <c r="CB51" i="1"/>
  <c r="CB52" i="1"/>
  <c r="CB53" i="1"/>
  <c r="CB54" i="1"/>
  <c r="CB55" i="1"/>
  <c r="CB56" i="1"/>
  <c r="CB57" i="1"/>
  <c r="CB58" i="1"/>
  <c r="CB59" i="1"/>
  <c r="CB60" i="1"/>
  <c r="CB61" i="1"/>
  <c r="CB62" i="1"/>
  <c r="CB63" i="1"/>
  <c r="CB64" i="1"/>
  <c r="CB65" i="1"/>
  <c r="CB66" i="1"/>
  <c r="CB108" i="1"/>
  <c r="BH67" i="1"/>
  <c r="CC67" i="1" s="1"/>
  <c r="BH68" i="1"/>
  <c r="CC68" i="1"/>
  <c r="BH69" i="1"/>
  <c r="CC69" i="1" s="1"/>
  <c r="BH70" i="1"/>
  <c r="CC70" i="1"/>
  <c r="BH71" i="1"/>
  <c r="CC71" i="1" s="1"/>
  <c r="BH72" i="1"/>
  <c r="CC72" i="1"/>
  <c r="BH73" i="1"/>
  <c r="CC73" i="1" s="1"/>
  <c r="BH74" i="1"/>
  <c r="CC74" i="1"/>
  <c r="BH75" i="1"/>
  <c r="CC75" i="1" s="1"/>
  <c r="BH76" i="1"/>
  <c r="CC76" i="1"/>
  <c r="BH77" i="1"/>
  <c r="CC77" i="1" s="1"/>
  <c r="BH78" i="1"/>
  <c r="CC78" i="1"/>
  <c r="BH79" i="1"/>
  <c r="CC79" i="1" s="1"/>
  <c r="BH80" i="1"/>
  <c r="CC80" i="1"/>
  <c r="BH81" i="1"/>
  <c r="CC81" i="1" s="1"/>
  <c r="BH82" i="1"/>
  <c r="CC82" i="1"/>
  <c r="BH83" i="1"/>
  <c r="CC83" i="1" s="1"/>
  <c r="BH84" i="1"/>
  <c r="CC84" i="1"/>
  <c r="BH85" i="1"/>
  <c r="CC85" i="1" s="1"/>
  <c r="BH86" i="1"/>
  <c r="CC86" i="1"/>
  <c r="BH87" i="1"/>
  <c r="CC87" i="1" s="1"/>
  <c r="BH88" i="1"/>
  <c r="CC88" i="1"/>
  <c r="BH89" i="1"/>
  <c r="CC89" i="1" s="1"/>
  <c r="BH90" i="1"/>
  <c r="CC90" i="1"/>
  <c r="BH91" i="1"/>
  <c r="CC91" i="1" s="1"/>
  <c r="BH92" i="1"/>
  <c r="CC92" i="1"/>
  <c r="BH93" i="1"/>
  <c r="CC93" i="1" s="1"/>
  <c r="BH94" i="1"/>
  <c r="CC94" i="1"/>
  <c r="BH95" i="1"/>
  <c r="CC95" i="1" s="1"/>
  <c r="BH96" i="1"/>
  <c r="CC96" i="1"/>
  <c r="BH97" i="1"/>
  <c r="CC97" i="1" s="1"/>
  <c r="BH98" i="1"/>
  <c r="CC98" i="1"/>
  <c r="BH99" i="1"/>
  <c r="CC99" i="1" s="1"/>
  <c r="BH100" i="1"/>
  <c r="CC100" i="1"/>
  <c r="BH101" i="1"/>
  <c r="CC101" i="1" s="1"/>
  <c r="BH102" i="1"/>
  <c r="CC102" i="1"/>
  <c r="BH103" i="1"/>
  <c r="CC103" i="1" s="1"/>
  <c r="BH104" i="1"/>
  <c r="CC104" i="1"/>
  <c r="BH105" i="1"/>
  <c r="CC105" i="1" s="1"/>
  <c r="BH3" i="1"/>
  <c r="CC3" i="1"/>
  <c r="BH4" i="1"/>
  <c r="CC4" i="1" s="1"/>
  <c r="BH5" i="1"/>
  <c r="CC5" i="1"/>
  <c r="BH6" i="1"/>
  <c r="CC6" i="1" s="1"/>
  <c r="BH7" i="1"/>
  <c r="CC7" i="1"/>
  <c r="BH8" i="1"/>
  <c r="CC8" i="1" s="1"/>
  <c r="BH9" i="1"/>
  <c r="CC9" i="1"/>
  <c r="BH10" i="1"/>
  <c r="CC10" i="1" s="1"/>
  <c r="BH11" i="1"/>
  <c r="CC11" i="1"/>
  <c r="BH12" i="1"/>
  <c r="CC12" i="1" s="1"/>
  <c r="BH13" i="1"/>
  <c r="CC13" i="1"/>
  <c r="BH14" i="1"/>
  <c r="CC14" i="1" s="1"/>
  <c r="BH15" i="1"/>
  <c r="CC15" i="1"/>
  <c r="BH16" i="1"/>
  <c r="CC16" i="1" s="1"/>
  <c r="BH17" i="1"/>
  <c r="CC17" i="1"/>
  <c r="BH18" i="1"/>
  <c r="CC18" i="1" s="1"/>
  <c r="BH19" i="1"/>
  <c r="CC19" i="1"/>
  <c r="BH20" i="1"/>
  <c r="CC20" i="1" s="1"/>
  <c r="BH21" i="1"/>
  <c r="CC21" i="1"/>
  <c r="BH22" i="1"/>
  <c r="CC22" i="1" s="1"/>
  <c r="BH23" i="1"/>
  <c r="CC23" i="1"/>
  <c r="BH24" i="1"/>
  <c r="CC24" i="1" s="1"/>
  <c r="BH25" i="1"/>
  <c r="CC25" i="1"/>
  <c r="BH26" i="1"/>
  <c r="CC26" i="1" s="1"/>
  <c r="BH27" i="1"/>
  <c r="CC27" i="1"/>
  <c r="BH28" i="1"/>
  <c r="CC28" i="1" s="1"/>
  <c r="BH29" i="1"/>
  <c r="CC29" i="1"/>
  <c r="BH30" i="1"/>
  <c r="CC30" i="1" s="1"/>
  <c r="BH31" i="1"/>
  <c r="CC31" i="1"/>
  <c r="BH32" i="1"/>
  <c r="CC32" i="1" s="1"/>
  <c r="BH33" i="1"/>
  <c r="CC33" i="1"/>
  <c r="BH34" i="1"/>
  <c r="CC34" i="1" s="1"/>
  <c r="BH35" i="1"/>
  <c r="CC35" i="1"/>
  <c r="BH36" i="1"/>
  <c r="CC36" i="1" s="1"/>
  <c r="BH37" i="1"/>
  <c r="CC37" i="1"/>
  <c r="BH38" i="1"/>
  <c r="CC38" i="1" s="1"/>
  <c r="BH39" i="1"/>
  <c r="CC39" i="1"/>
  <c r="BH40" i="1"/>
  <c r="CC40" i="1" s="1"/>
  <c r="BH41" i="1"/>
  <c r="CC41" i="1"/>
  <c r="BH42" i="1"/>
  <c r="CC42" i="1" s="1"/>
  <c r="BH43" i="1"/>
  <c r="CC43" i="1"/>
  <c r="BH44" i="1"/>
  <c r="CC44" i="1" s="1"/>
  <c r="BH45" i="1"/>
  <c r="CC45" i="1"/>
  <c r="BH46" i="1"/>
  <c r="CC46" i="1" s="1"/>
  <c r="BH47" i="1"/>
  <c r="CC47" i="1"/>
  <c r="BH48" i="1"/>
  <c r="CC48" i="1" s="1"/>
  <c r="BH49" i="1"/>
  <c r="CC49" i="1"/>
  <c r="BH50" i="1"/>
  <c r="CC50" i="1" s="1"/>
  <c r="BH51" i="1"/>
  <c r="BH108" i="1" s="1"/>
  <c r="CC51" i="1"/>
  <c r="BH52" i="1"/>
  <c r="CC52" i="1" s="1"/>
  <c r="BH53" i="1"/>
  <c r="CC53" i="1"/>
  <c r="BH54" i="1"/>
  <c r="CC54" i="1" s="1"/>
  <c r="BH55" i="1"/>
  <c r="CC55" i="1"/>
  <c r="BH56" i="1"/>
  <c r="CC56" i="1" s="1"/>
  <c r="BH57" i="1"/>
  <c r="CC57" i="1"/>
  <c r="BH58" i="1"/>
  <c r="CC58" i="1" s="1"/>
  <c r="BH59" i="1"/>
  <c r="CC59" i="1"/>
  <c r="BH60" i="1"/>
  <c r="CC60" i="1" s="1"/>
  <c r="BH61" i="1"/>
  <c r="CC61" i="1"/>
  <c r="BH62" i="1"/>
  <c r="CC62" i="1" s="1"/>
  <c r="BH63" i="1"/>
  <c r="CC63" i="1"/>
  <c r="BH64" i="1"/>
  <c r="CC64" i="1" s="1"/>
  <c r="BH65" i="1"/>
  <c r="CC65" i="1"/>
  <c r="BH66" i="1"/>
  <c r="CC66" i="1" s="1"/>
  <c r="BH107" i="1"/>
  <c r="BH109" i="1" s="1"/>
  <c r="AU2" i="1"/>
  <c r="AV2" i="1" s="1"/>
  <c r="AA2" i="1"/>
  <c r="AA109" i="1" s="1"/>
  <c r="AU107" i="1"/>
  <c r="AA107" i="1"/>
  <c r="AV107" i="1"/>
  <c r="AU3" i="1"/>
  <c r="AA3" i="1"/>
  <c r="AV3" i="1"/>
  <c r="AU4" i="1"/>
  <c r="AA4" i="1"/>
  <c r="AV4" i="1"/>
  <c r="AU5" i="1"/>
  <c r="AV5" i="1" s="1"/>
  <c r="AA5" i="1"/>
  <c r="AU6" i="1"/>
  <c r="AV6" i="1" s="1"/>
  <c r="AA6" i="1"/>
  <c r="AU7" i="1"/>
  <c r="AA7" i="1"/>
  <c r="AV7" i="1"/>
  <c r="AU8" i="1"/>
  <c r="AA8" i="1"/>
  <c r="AV8" i="1"/>
  <c r="AU9" i="1"/>
  <c r="AV9" i="1" s="1"/>
  <c r="AA9" i="1"/>
  <c r="AU10" i="1"/>
  <c r="AV10" i="1" s="1"/>
  <c r="AA10" i="1"/>
  <c r="AU11" i="1"/>
  <c r="AA11" i="1"/>
  <c r="AV11" i="1"/>
  <c r="AU12" i="1"/>
  <c r="AA12" i="1"/>
  <c r="AV12" i="1"/>
  <c r="AU13" i="1"/>
  <c r="AV13" i="1" s="1"/>
  <c r="AA13" i="1"/>
  <c r="AU14" i="1"/>
  <c r="AV14" i="1" s="1"/>
  <c r="AA14" i="1"/>
  <c r="AU15" i="1"/>
  <c r="AA15" i="1"/>
  <c r="AV15" i="1"/>
  <c r="AU16" i="1"/>
  <c r="AA16" i="1"/>
  <c r="AV16" i="1"/>
  <c r="AU17" i="1"/>
  <c r="AV17" i="1" s="1"/>
  <c r="AA17" i="1"/>
  <c r="AU18" i="1"/>
  <c r="AV18" i="1" s="1"/>
  <c r="AA18" i="1"/>
  <c r="AU19" i="1"/>
  <c r="AA19" i="1"/>
  <c r="AV19" i="1"/>
  <c r="AU20" i="1"/>
  <c r="AA20" i="1"/>
  <c r="AV20" i="1"/>
  <c r="AU21" i="1"/>
  <c r="AV21" i="1" s="1"/>
  <c r="AA21" i="1"/>
  <c r="AU22" i="1"/>
  <c r="AV22" i="1" s="1"/>
  <c r="AA22" i="1"/>
  <c r="AU23" i="1"/>
  <c r="AA23" i="1"/>
  <c r="AV23" i="1"/>
  <c r="AU24" i="1"/>
  <c r="AA24" i="1"/>
  <c r="AV24" i="1"/>
  <c r="AU25" i="1"/>
  <c r="AV25" i="1" s="1"/>
  <c r="AA25" i="1"/>
  <c r="AU26" i="1"/>
  <c r="AV26" i="1" s="1"/>
  <c r="AA26" i="1"/>
  <c r="AU27" i="1"/>
  <c r="AA27" i="1"/>
  <c r="AV27" i="1"/>
  <c r="AU28" i="1"/>
  <c r="AA28" i="1"/>
  <c r="AV28" i="1"/>
  <c r="AU29" i="1"/>
  <c r="AV29" i="1" s="1"/>
  <c r="AA29" i="1"/>
  <c r="AU30" i="1"/>
  <c r="AV30" i="1" s="1"/>
  <c r="AA30" i="1"/>
  <c r="AU31" i="1"/>
  <c r="AA31" i="1"/>
  <c r="AV31" i="1"/>
  <c r="AU32" i="1"/>
  <c r="AA32" i="1"/>
  <c r="AV32" i="1"/>
  <c r="AU33" i="1"/>
  <c r="AV33" i="1" s="1"/>
  <c r="AA33" i="1"/>
  <c r="AU34" i="1"/>
  <c r="AV34" i="1" s="1"/>
  <c r="AA34" i="1"/>
  <c r="AU35" i="1"/>
  <c r="AA35" i="1"/>
  <c r="AV35" i="1"/>
  <c r="AU36" i="1"/>
  <c r="AA36" i="1"/>
  <c r="AV36" i="1"/>
  <c r="AU37" i="1"/>
  <c r="AV37" i="1" s="1"/>
  <c r="AA37" i="1"/>
  <c r="AU38" i="1"/>
  <c r="AV38" i="1" s="1"/>
  <c r="AA38" i="1"/>
  <c r="AU39" i="1"/>
  <c r="AA39" i="1"/>
  <c r="AV39" i="1"/>
  <c r="AU40" i="1"/>
  <c r="AA40" i="1"/>
  <c r="AV40" i="1"/>
  <c r="AU41" i="1"/>
  <c r="AV41" i="1" s="1"/>
  <c r="AA41" i="1"/>
  <c r="AU42" i="1"/>
  <c r="AV42" i="1" s="1"/>
  <c r="AA42" i="1"/>
  <c r="AU43" i="1"/>
  <c r="AA43" i="1"/>
  <c r="AV43" i="1"/>
  <c r="AU44" i="1"/>
  <c r="AA44" i="1"/>
  <c r="AV44" i="1"/>
  <c r="AU45" i="1"/>
  <c r="AV45" i="1" s="1"/>
  <c r="AA45" i="1"/>
  <c r="AU46" i="1"/>
  <c r="AV46" i="1" s="1"/>
  <c r="AA46" i="1"/>
  <c r="AU47" i="1"/>
  <c r="AA47" i="1"/>
  <c r="AV47" i="1"/>
  <c r="AU48" i="1"/>
  <c r="AA48" i="1"/>
  <c r="AV48" i="1"/>
  <c r="AU49" i="1"/>
  <c r="AV49" i="1" s="1"/>
  <c r="AA49" i="1"/>
  <c r="AU50" i="1"/>
  <c r="AV50" i="1" s="1"/>
  <c r="AA50" i="1"/>
  <c r="AU51" i="1"/>
  <c r="AA51" i="1"/>
  <c r="AV51" i="1"/>
  <c r="AU52" i="1"/>
  <c r="AA52" i="1"/>
  <c r="AV52" i="1"/>
  <c r="AU53" i="1"/>
  <c r="AV53" i="1" s="1"/>
  <c r="AA53" i="1"/>
  <c r="AU54" i="1"/>
  <c r="AV54" i="1" s="1"/>
  <c r="AA54" i="1"/>
  <c r="AU55" i="1"/>
  <c r="AA55" i="1"/>
  <c r="AV55" i="1"/>
  <c r="AU56" i="1"/>
  <c r="AA56" i="1"/>
  <c r="AV56" i="1"/>
  <c r="AU57" i="1"/>
  <c r="AV57" i="1" s="1"/>
  <c r="AA57" i="1"/>
  <c r="AU58" i="1"/>
  <c r="AV58" i="1" s="1"/>
  <c r="AA58" i="1"/>
  <c r="AU59" i="1"/>
  <c r="AA59" i="1"/>
  <c r="AV59" i="1"/>
  <c r="AU60" i="1"/>
  <c r="AA60" i="1"/>
  <c r="AV60" i="1"/>
  <c r="AU61" i="1"/>
  <c r="AV61" i="1" s="1"/>
  <c r="AA61" i="1"/>
  <c r="AU62" i="1"/>
  <c r="AV62" i="1" s="1"/>
  <c r="AA62" i="1"/>
  <c r="AU63" i="1"/>
  <c r="AA63" i="1"/>
  <c r="AV63" i="1"/>
  <c r="AU64" i="1"/>
  <c r="AA64" i="1"/>
  <c r="AV64" i="1"/>
  <c r="AU65" i="1"/>
  <c r="AV65" i="1" s="1"/>
  <c r="AA65" i="1"/>
  <c r="AU66" i="1"/>
  <c r="AV66" i="1" s="1"/>
  <c r="AA66" i="1"/>
  <c r="AU67" i="1"/>
  <c r="AA67" i="1"/>
  <c r="AV67" i="1"/>
  <c r="AU68" i="1"/>
  <c r="AA68" i="1"/>
  <c r="AV68" i="1"/>
  <c r="AU69" i="1"/>
  <c r="AV69" i="1" s="1"/>
  <c r="AA69" i="1"/>
  <c r="AU70" i="1"/>
  <c r="AV70" i="1" s="1"/>
  <c r="AA70" i="1"/>
  <c r="AU71" i="1"/>
  <c r="AA71" i="1"/>
  <c r="AV71" i="1"/>
  <c r="AU72" i="1"/>
  <c r="AA72" i="1"/>
  <c r="AV72" i="1"/>
  <c r="AU73" i="1"/>
  <c r="AV73" i="1" s="1"/>
  <c r="AA73" i="1"/>
  <c r="AU74" i="1"/>
  <c r="AV74" i="1" s="1"/>
  <c r="AA74" i="1"/>
  <c r="AU75" i="1"/>
  <c r="AA75" i="1"/>
  <c r="AV75" i="1"/>
  <c r="AU76" i="1"/>
  <c r="AA76" i="1"/>
  <c r="AV76" i="1"/>
  <c r="AU77" i="1"/>
  <c r="AV77" i="1" s="1"/>
  <c r="AA77" i="1"/>
  <c r="AU78" i="1"/>
  <c r="AV78" i="1" s="1"/>
  <c r="AA78" i="1"/>
  <c r="AU79" i="1"/>
  <c r="AA79" i="1"/>
  <c r="AV79" i="1"/>
  <c r="AU80" i="1"/>
  <c r="AA80" i="1"/>
  <c r="AV80" i="1"/>
  <c r="AU81" i="1"/>
  <c r="AV81" i="1" s="1"/>
  <c r="AA81" i="1"/>
  <c r="AU82" i="1"/>
  <c r="AV82" i="1" s="1"/>
  <c r="AA82" i="1"/>
  <c r="AU83" i="1"/>
  <c r="AA83" i="1"/>
  <c r="AV83" i="1"/>
  <c r="AU84" i="1"/>
  <c r="AA84" i="1"/>
  <c r="AV84" i="1"/>
  <c r="AU85" i="1"/>
  <c r="AV85" i="1" s="1"/>
  <c r="AA85" i="1"/>
  <c r="AU86" i="1"/>
  <c r="AV86" i="1" s="1"/>
  <c r="AA86" i="1"/>
  <c r="AU87" i="1"/>
  <c r="AA87" i="1"/>
  <c r="AV87" i="1"/>
  <c r="AU88" i="1"/>
  <c r="AA88" i="1"/>
  <c r="AV88" i="1"/>
  <c r="AU89" i="1"/>
  <c r="AV89" i="1" s="1"/>
  <c r="AA89" i="1"/>
  <c r="AU90" i="1"/>
  <c r="AV90" i="1" s="1"/>
  <c r="AA90" i="1"/>
  <c r="AU91" i="1"/>
  <c r="AA91" i="1"/>
  <c r="AV91" i="1"/>
  <c r="AU92" i="1"/>
  <c r="AA92" i="1"/>
  <c r="AV92" i="1"/>
  <c r="AU93" i="1"/>
  <c r="AV93" i="1" s="1"/>
  <c r="AA93" i="1"/>
  <c r="AU94" i="1"/>
  <c r="AV94" i="1" s="1"/>
  <c r="AA94" i="1"/>
  <c r="AU95" i="1"/>
  <c r="AA95" i="1"/>
  <c r="AV95" i="1"/>
  <c r="AU96" i="1"/>
  <c r="AA96" i="1"/>
  <c r="AV96" i="1"/>
  <c r="AU97" i="1"/>
  <c r="AV97" i="1" s="1"/>
  <c r="AA97" i="1"/>
  <c r="AU98" i="1"/>
  <c r="AV98" i="1" s="1"/>
  <c r="AA98" i="1"/>
  <c r="AU99" i="1"/>
  <c r="AA99" i="1"/>
  <c r="AV99" i="1"/>
  <c r="AU100" i="1"/>
  <c r="AA100" i="1"/>
  <c r="AV100" i="1"/>
  <c r="AU101" i="1"/>
  <c r="AV101" i="1" s="1"/>
  <c r="AA101" i="1"/>
  <c r="AU102" i="1"/>
  <c r="AV102" i="1" s="1"/>
  <c r="AA102" i="1"/>
  <c r="AU103" i="1"/>
  <c r="AA103" i="1"/>
  <c r="AV103" i="1"/>
  <c r="AU104" i="1"/>
  <c r="AA104" i="1"/>
  <c r="AV104" i="1"/>
  <c r="AU105" i="1"/>
  <c r="AV105" i="1" s="1"/>
  <c r="AA105" i="1"/>
  <c r="AU106" i="1"/>
  <c r="AV106" i="1" s="1"/>
  <c r="AA106" i="1"/>
  <c r="AU109" i="1"/>
  <c r="AU108" i="1"/>
  <c r="D109" i="1"/>
  <c r="E109" i="1"/>
  <c r="F109" i="1"/>
  <c r="G109" i="1"/>
  <c r="H109" i="1"/>
  <c r="I109" i="1"/>
  <c r="J109" i="1"/>
  <c r="K109" i="1"/>
  <c r="M109" i="1"/>
  <c r="P2" i="1"/>
  <c r="P109" i="1" s="1"/>
  <c r="P107" i="1"/>
  <c r="BC2" i="1"/>
  <c r="Q2" i="1" s="1"/>
  <c r="DF2" i="1"/>
  <c r="DF109" i="1" s="1"/>
  <c r="BC107" i="1"/>
  <c r="DF107" i="1"/>
  <c r="S107" i="1" s="1"/>
  <c r="Q107" i="1"/>
  <c r="R2" i="1"/>
  <c r="R107" i="1"/>
  <c r="R109" i="1"/>
  <c r="T2" i="1"/>
  <c r="T109" i="1" s="1"/>
  <c r="T107" i="1"/>
  <c r="U109" i="1"/>
  <c r="V2" i="1"/>
  <c r="V109" i="1" s="1"/>
  <c r="V107" i="1"/>
  <c r="W2" i="1"/>
  <c r="W109" i="1" s="1"/>
  <c r="W107" i="1"/>
  <c r="X109" i="1"/>
  <c r="Y2" i="1"/>
  <c r="Y109" i="1" s="1"/>
  <c r="Y107" i="1"/>
  <c r="Z109" i="1"/>
  <c r="AB109" i="1"/>
  <c r="AC109" i="1"/>
  <c r="AD109" i="1"/>
  <c r="AE109" i="1"/>
  <c r="AF2" i="1"/>
  <c r="AF109" i="1" s="1"/>
  <c r="AF107" i="1"/>
  <c r="AG2" i="1"/>
  <c r="AG107" i="1"/>
  <c r="AG109" i="1"/>
  <c r="AH2" i="1"/>
  <c r="AH107" i="1"/>
  <c r="AH109" i="1"/>
  <c r="AI109" i="1"/>
  <c r="AJ109" i="1"/>
  <c r="AK2" i="1"/>
  <c r="AK107" i="1"/>
  <c r="AM107" i="1" s="1"/>
  <c r="AK109" i="1"/>
  <c r="AL2" i="1"/>
  <c r="AL107" i="1"/>
  <c r="AL109" i="1"/>
  <c r="AM2" i="1"/>
  <c r="AM109" i="1" s="1"/>
  <c r="AN109" i="1"/>
  <c r="AO109" i="1"/>
  <c r="AP109" i="1"/>
  <c r="AQ2" i="1"/>
  <c r="AQ107" i="1"/>
  <c r="AS107" i="1" s="1"/>
  <c r="AQ109" i="1"/>
  <c r="AR2" i="1"/>
  <c r="AR107" i="1"/>
  <c r="AR109" i="1"/>
  <c r="AS2" i="1"/>
  <c r="AS109" i="1" s="1"/>
  <c r="AT109" i="1"/>
  <c r="AW109" i="1"/>
  <c r="AX109" i="1"/>
  <c r="AY109" i="1"/>
  <c r="BA2" i="1"/>
  <c r="BA109" i="1" s="1"/>
  <c r="BA107" i="1"/>
  <c r="BF107" i="1" s="1"/>
  <c r="BB109" i="1"/>
  <c r="BC109" i="1"/>
  <c r="BD2" i="1"/>
  <c r="BD109" i="1" s="1"/>
  <c r="BD107" i="1"/>
  <c r="BE2" i="1"/>
  <c r="BE109" i="1" s="1"/>
  <c r="BE107" i="1"/>
  <c r="BG109" i="1"/>
  <c r="BI109" i="1"/>
  <c r="BJ109" i="1"/>
  <c r="BK109" i="1"/>
  <c r="BL109" i="1"/>
  <c r="BM2" i="1"/>
  <c r="BM107" i="1"/>
  <c r="BM109" i="1"/>
  <c r="BN2" i="1"/>
  <c r="BN107" i="1"/>
  <c r="BN109" i="1"/>
  <c r="BO2" i="1"/>
  <c r="BO109" i="1" s="1"/>
  <c r="BO107" i="1"/>
  <c r="BP109" i="1"/>
  <c r="BQ109" i="1"/>
  <c r="BR2" i="1"/>
  <c r="BR107" i="1"/>
  <c r="BR109" i="1"/>
  <c r="BS2" i="1"/>
  <c r="BS109" i="1" s="1"/>
  <c r="BS107" i="1"/>
  <c r="BT107" i="1"/>
  <c r="BU109" i="1"/>
  <c r="BV109" i="1"/>
  <c r="BW109" i="1"/>
  <c r="BX2" i="1"/>
  <c r="BX107" i="1"/>
  <c r="BX109" i="1"/>
  <c r="BY2" i="1"/>
  <c r="BY109" i="1" s="1"/>
  <c r="BY107" i="1"/>
  <c r="BZ107" i="1"/>
  <c r="CD109" i="1"/>
  <c r="CE109" i="1"/>
  <c r="CF109" i="1"/>
  <c r="CH107" i="1"/>
  <c r="CH109" i="1"/>
  <c r="CN109" i="1"/>
  <c r="CP109" i="1"/>
  <c r="CQ109" i="1"/>
  <c r="CR109" i="1"/>
  <c r="CS109" i="1"/>
  <c r="CT2" i="1"/>
  <c r="CT109" i="1" s="1"/>
  <c r="CT107" i="1"/>
  <c r="CU2" i="1"/>
  <c r="CU109" i="1" s="1"/>
  <c r="CU107" i="1"/>
  <c r="DW107" i="1" s="1"/>
  <c r="CV2" i="1"/>
  <c r="CV107" i="1"/>
  <c r="CV109" i="1"/>
  <c r="CW109" i="1"/>
  <c r="CZ109" i="1"/>
  <c r="DA109" i="1"/>
  <c r="DB109" i="1"/>
  <c r="DD2" i="1"/>
  <c r="DD107" i="1"/>
  <c r="DD109" i="1"/>
  <c r="DE109" i="1"/>
  <c r="DG107" i="1"/>
  <c r="DV107" i="1" s="1"/>
  <c r="DH107" i="1"/>
  <c r="DI2" i="1"/>
  <c r="DI109" i="1" s="1"/>
  <c r="DI107" i="1"/>
  <c r="DJ109" i="1"/>
  <c r="DK2" i="1"/>
  <c r="DN2" i="1" s="1"/>
  <c r="DN109" i="1" s="1"/>
  <c r="DK107" i="1"/>
  <c r="DL109" i="1"/>
  <c r="DM109" i="1"/>
  <c r="DN107" i="1"/>
  <c r="DO109" i="1"/>
  <c r="DP109" i="1"/>
  <c r="DQ2" i="1"/>
  <c r="DQ107" i="1"/>
  <c r="DT107" i="1" s="1"/>
  <c r="DT109" i="1" s="1"/>
  <c r="DQ109" i="1"/>
  <c r="DR2" i="1"/>
  <c r="DR107" i="1"/>
  <c r="DR109" i="1"/>
  <c r="DU2" i="1"/>
  <c r="DS2" i="1" s="1"/>
  <c r="DS109" i="1" s="1"/>
  <c r="DU107" i="1"/>
  <c r="DS107" i="1"/>
  <c r="DT2" i="1"/>
  <c r="DU109" i="1"/>
  <c r="DX109" i="1"/>
  <c r="EH2" i="1"/>
  <c r="EH109" i="1" s="1"/>
  <c r="EH107" i="1"/>
  <c r="EI109" i="1"/>
  <c r="EJ109" i="1"/>
  <c r="EL109" i="1"/>
  <c r="EM109" i="1"/>
  <c r="EO109" i="1"/>
  <c r="EP109" i="1"/>
  <c r="ES109" i="1"/>
  <c r="ET109" i="1"/>
  <c r="EU109" i="1"/>
  <c r="EW109" i="1"/>
  <c r="EX109" i="1"/>
  <c r="EZ109" i="1"/>
  <c r="FD2" i="1"/>
  <c r="FC2" i="1" s="1"/>
  <c r="FC109" i="1" s="1"/>
  <c r="FL2" i="1"/>
  <c r="FD107" i="1"/>
  <c r="FL107" i="1"/>
  <c r="FC107" i="1"/>
  <c r="FE2" i="1"/>
  <c r="FE109" i="1" s="1"/>
  <c r="FE107" i="1"/>
  <c r="FF107" i="1" s="1"/>
  <c r="FG107" i="1"/>
  <c r="C109" i="1"/>
  <c r="D108" i="1"/>
  <c r="E108" i="1"/>
  <c r="F108" i="1"/>
  <c r="G16" i="1"/>
  <c r="G48" i="1"/>
  <c r="G49" i="1"/>
  <c r="G64" i="1"/>
  <c r="G85" i="1"/>
  <c r="G98" i="1"/>
  <c r="G99" i="1"/>
  <c r="G100" i="1"/>
  <c r="G108" i="1"/>
  <c r="H108" i="1"/>
  <c r="I108" i="1"/>
  <c r="J108" i="1"/>
  <c r="K108" i="1"/>
  <c r="M108" i="1"/>
  <c r="P3" i="1"/>
  <c r="P4" i="1"/>
  <c r="P5" i="1"/>
  <c r="P108" i="1" s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BC3" i="1"/>
  <c r="Q3" i="1" s="1"/>
  <c r="CJ3" i="1"/>
  <c r="DF3" i="1"/>
  <c r="BC4" i="1"/>
  <c r="Q4" i="1" s="1"/>
  <c r="CJ4" i="1"/>
  <c r="DF4" i="1"/>
  <c r="BC5" i="1"/>
  <c r="Q5" i="1" s="1"/>
  <c r="CJ5" i="1"/>
  <c r="DF5" i="1"/>
  <c r="BC6" i="1"/>
  <c r="Q6" i="1" s="1"/>
  <c r="CJ6" i="1"/>
  <c r="DF6" i="1"/>
  <c r="BC7" i="1"/>
  <c r="Q7" i="1" s="1"/>
  <c r="CJ7" i="1"/>
  <c r="DF7" i="1"/>
  <c r="BC8" i="1"/>
  <c r="Q8" i="1" s="1"/>
  <c r="CJ8" i="1"/>
  <c r="DF8" i="1"/>
  <c r="BC9" i="1"/>
  <c r="Q9" i="1" s="1"/>
  <c r="CJ9" i="1"/>
  <c r="DF9" i="1"/>
  <c r="BC10" i="1"/>
  <c r="Q10" i="1" s="1"/>
  <c r="CJ10" i="1"/>
  <c r="DF10" i="1"/>
  <c r="BC11" i="1"/>
  <c r="Q11" i="1" s="1"/>
  <c r="CJ11" i="1"/>
  <c r="DF11" i="1"/>
  <c r="BC12" i="1"/>
  <c r="Q12" i="1" s="1"/>
  <c r="CJ12" i="1"/>
  <c r="DF12" i="1"/>
  <c r="BC13" i="1"/>
  <c r="Q13" i="1" s="1"/>
  <c r="CJ13" i="1"/>
  <c r="DF13" i="1"/>
  <c r="BC14" i="1"/>
  <c r="Q14" i="1" s="1"/>
  <c r="CJ14" i="1"/>
  <c r="DF14" i="1"/>
  <c r="BC15" i="1"/>
  <c r="Q15" i="1" s="1"/>
  <c r="CJ15" i="1"/>
  <c r="DF15" i="1"/>
  <c r="BC16" i="1"/>
  <c r="Q16" i="1" s="1"/>
  <c r="CJ16" i="1"/>
  <c r="DF16" i="1"/>
  <c r="BC17" i="1"/>
  <c r="Q17" i="1" s="1"/>
  <c r="CJ17" i="1"/>
  <c r="DF17" i="1"/>
  <c r="BC18" i="1"/>
  <c r="Q18" i="1" s="1"/>
  <c r="CJ18" i="1"/>
  <c r="DF18" i="1"/>
  <c r="BC19" i="1"/>
  <c r="Q19" i="1" s="1"/>
  <c r="CJ19" i="1"/>
  <c r="DF19" i="1"/>
  <c r="BC20" i="1"/>
  <c r="Q20" i="1" s="1"/>
  <c r="CJ20" i="1"/>
  <c r="DF20" i="1"/>
  <c r="BC21" i="1"/>
  <c r="Q21" i="1" s="1"/>
  <c r="CJ21" i="1"/>
  <c r="DF21" i="1"/>
  <c r="BC22" i="1"/>
  <c r="Q22" i="1" s="1"/>
  <c r="CJ22" i="1"/>
  <c r="DF22" i="1"/>
  <c r="BC23" i="1"/>
  <c r="Q23" i="1" s="1"/>
  <c r="CJ23" i="1"/>
  <c r="DF23" i="1"/>
  <c r="BC24" i="1"/>
  <c r="Q24" i="1" s="1"/>
  <c r="CJ24" i="1"/>
  <c r="DF24" i="1"/>
  <c r="BC25" i="1"/>
  <c r="Q25" i="1" s="1"/>
  <c r="CJ25" i="1"/>
  <c r="DF25" i="1"/>
  <c r="BC26" i="1"/>
  <c r="Q26" i="1" s="1"/>
  <c r="CJ26" i="1"/>
  <c r="DF26" i="1"/>
  <c r="BC27" i="1"/>
  <c r="Q27" i="1" s="1"/>
  <c r="CJ27" i="1"/>
  <c r="DF27" i="1"/>
  <c r="BC28" i="1"/>
  <c r="Q28" i="1" s="1"/>
  <c r="CJ28" i="1"/>
  <c r="DF28" i="1"/>
  <c r="BC29" i="1"/>
  <c r="Q29" i="1" s="1"/>
  <c r="CJ29" i="1"/>
  <c r="DF29" i="1"/>
  <c r="BC30" i="1"/>
  <c r="Q30" i="1" s="1"/>
  <c r="CJ30" i="1"/>
  <c r="DF30" i="1"/>
  <c r="BC31" i="1"/>
  <c r="Q31" i="1" s="1"/>
  <c r="CJ31" i="1"/>
  <c r="DF31" i="1"/>
  <c r="BC32" i="1"/>
  <c r="Q32" i="1" s="1"/>
  <c r="CJ32" i="1"/>
  <c r="DF32" i="1"/>
  <c r="BC33" i="1"/>
  <c r="Q33" i="1" s="1"/>
  <c r="CJ33" i="1"/>
  <c r="DF33" i="1"/>
  <c r="BC34" i="1"/>
  <c r="Q34" i="1" s="1"/>
  <c r="CJ34" i="1"/>
  <c r="DF34" i="1"/>
  <c r="BC35" i="1"/>
  <c r="Q35" i="1" s="1"/>
  <c r="CJ35" i="1"/>
  <c r="DF35" i="1"/>
  <c r="BC36" i="1"/>
  <c r="Q36" i="1" s="1"/>
  <c r="CJ36" i="1"/>
  <c r="DF36" i="1"/>
  <c r="BC37" i="1"/>
  <c r="Q37" i="1" s="1"/>
  <c r="CJ37" i="1"/>
  <c r="DF37" i="1"/>
  <c r="BC38" i="1"/>
  <c r="Q38" i="1" s="1"/>
  <c r="CJ38" i="1"/>
  <c r="DF38" i="1"/>
  <c r="BC39" i="1"/>
  <c r="Q39" i="1" s="1"/>
  <c r="CJ39" i="1"/>
  <c r="DF39" i="1"/>
  <c r="BC40" i="1"/>
  <c r="Q40" i="1" s="1"/>
  <c r="CJ40" i="1"/>
  <c r="DF40" i="1"/>
  <c r="BC41" i="1"/>
  <c r="Q41" i="1" s="1"/>
  <c r="CJ41" i="1"/>
  <c r="DF41" i="1"/>
  <c r="BC42" i="1"/>
  <c r="Q42" i="1" s="1"/>
  <c r="CJ42" i="1"/>
  <c r="DF42" i="1"/>
  <c r="BC43" i="1"/>
  <c r="Q43" i="1" s="1"/>
  <c r="CJ43" i="1"/>
  <c r="DF43" i="1"/>
  <c r="BC44" i="1"/>
  <c r="Q44" i="1" s="1"/>
  <c r="CJ44" i="1"/>
  <c r="DF44" i="1"/>
  <c r="BC45" i="1"/>
  <c r="Q45" i="1" s="1"/>
  <c r="CJ45" i="1"/>
  <c r="DF45" i="1"/>
  <c r="BC46" i="1"/>
  <c r="Q46" i="1" s="1"/>
  <c r="CJ46" i="1"/>
  <c r="DF46" i="1"/>
  <c r="BC47" i="1"/>
  <c r="Q47" i="1" s="1"/>
  <c r="CJ47" i="1"/>
  <c r="DF47" i="1"/>
  <c r="BC48" i="1"/>
  <c r="Q48" i="1" s="1"/>
  <c r="CJ48" i="1"/>
  <c r="DF48" i="1"/>
  <c r="BC49" i="1"/>
  <c r="Q49" i="1" s="1"/>
  <c r="CJ49" i="1"/>
  <c r="DF49" i="1"/>
  <c r="BC50" i="1"/>
  <c r="Q50" i="1" s="1"/>
  <c r="CJ50" i="1"/>
  <c r="DF50" i="1"/>
  <c r="BC51" i="1"/>
  <c r="Q51" i="1" s="1"/>
  <c r="CJ51" i="1"/>
  <c r="DF51" i="1"/>
  <c r="BC52" i="1"/>
  <c r="Q52" i="1" s="1"/>
  <c r="CJ52" i="1"/>
  <c r="DF52" i="1"/>
  <c r="BC53" i="1"/>
  <c r="Q53" i="1" s="1"/>
  <c r="CJ53" i="1"/>
  <c r="DF53" i="1"/>
  <c r="BC54" i="1"/>
  <c r="Q54" i="1" s="1"/>
  <c r="CJ54" i="1"/>
  <c r="DF54" i="1"/>
  <c r="BC55" i="1"/>
  <c r="Q55" i="1" s="1"/>
  <c r="CJ55" i="1"/>
  <c r="DF55" i="1"/>
  <c r="BC56" i="1"/>
  <c r="Q56" i="1" s="1"/>
  <c r="CJ56" i="1"/>
  <c r="DF56" i="1"/>
  <c r="BC57" i="1"/>
  <c r="Q57" i="1" s="1"/>
  <c r="CJ57" i="1"/>
  <c r="DF57" i="1"/>
  <c r="BC58" i="1"/>
  <c r="Q58" i="1" s="1"/>
  <c r="CJ58" i="1"/>
  <c r="DF58" i="1"/>
  <c r="BC59" i="1"/>
  <c r="Q59" i="1" s="1"/>
  <c r="CJ59" i="1"/>
  <c r="DF59" i="1"/>
  <c r="BC60" i="1"/>
  <c r="Q60" i="1" s="1"/>
  <c r="CJ60" i="1"/>
  <c r="DF60" i="1"/>
  <c r="BC61" i="1"/>
  <c r="Q61" i="1" s="1"/>
  <c r="CJ61" i="1"/>
  <c r="DF61" i="1"/>
  <c r="BC62" i="1"/>
  <c r="Q62" i="1" s="1"/>
  <c r="CJ62" i="1"/>
  <c r="DF62" i="1"/>
  <c r="BC63" i="1"/>
  <c r="Q63" i="1" s="1"/>
  <c r="CJ63" i="1"/>
  <c r="DF63" i="1"/>
  <c r="BC64" i="1"/>
  <c r="Q64" i="1" s="1"/>
  <c r="CJ64" i="1"/>
  <c r="DF64" i="1"/>
  <c r="BC65" i="1"/>
  <c r="Q65" i="1" s="1"/>
  <c r="CJ65" i="1"/>
  <c r="DF65" i="1"/>
  <c r="BC66" i="1"/>
  <c r="Q66" i="1" s="1"/>
  <c r="CJ66" i="1"/>
  <c r="DF66" i="1"/>
  <c r="BC67" i="1"/>
  <c r="Q67" i="1" s="1"/>
  <c r="CJ67" i="1"/>
  <c r="DF67" i="1"/>
  <c r="BC68" i="1"/>
  <c r="Q68" i="1" s="1"/>
  <c r="CJ68" i="1"/>
  <c r="DF68" i="1"/>
  <c r="BC69" i="1"/>
  <c r="Q69" i="1" s="1"/>
  <c r="CJ69" i="1"/>
  <c r="DF69" i="1"/>
  <c r="BC70" i="1"/>
  <c r="Q70" i="1" s="1"/>
  <c r="CJ70" i="1"/>
  <c r="DF70" i="1"/>
  <c r="BC71" i="1"/>
  <c r="Q71" i="1" s="1"/>
  <c r="CJ71" i="1"/>
  <c r="DF71" i="1"/>
  <c r="BC72" i="1"/>
  <c r="Q72" i="1" s="1"/>
  <c r="CJ72" i="1"/>
  <c r="DF72" i="1"/>
  <c r="BC73" i="1"/>
  <c r="Q73" i="1" s="1"/>
  <c r="CJ73" i="1"/>
  <c r="DF73" i="1"/>
  <c r="BC74" i="1"/>
  <c r="Q74" i="1" s="1"/>
  <c r="CJ74" i="1"/>
  <c r="DF74" i="1"/>
  <c r="BC75" i="1"/>
  <c r="Q75" i="1" s="1"/>
  <c r="CJ75" i="1"/>
  <c r="DF75" i="1"/>
  <c r="BC76" i="1"/>
  <c r="Q76" i="1" s="1"/>
  <c r="CJ76" i="1"/>
  <c r="DF76" i="1"/>
  <c r="BC77" i="1"/>
  <c r="Q77" i="1" s="1"/>
  <c r="CJ77" i="1"/>
  <c r="DF77" i="1"/>
  <c r="BC78" i="1"/>
  <c r="Q78" i="1" s="1"/>
  <c r="CJ78" i="1"/>
  <c r="DF78" i="1"/>
  <c r="BC79" i="1"/>
  <c r="Q79" i="1" s="1"/>
  <c r="CJ79" i="1"/>
  <c r="BC80" i="1"/>
  <c r="Q80" i="1" s="1"/>
  <c r="CJ80" i="1"/>
  <c r="DF80" i="1"/>
  <c r="BC81" i="1"/>
  <c r="Q81" i="1" s="1"/>
  <c r="CJ81" i="1"/>
  <c r="DF81" i="1"/>
  <c r="BC82" i="1"/>
  <c r="Q82" i="1" s="1"/>
  <c r="CJ82" i="1"/>
  <c r="DF82" i="1"/>
  <c r="BC83" i="1"/>
  <c r="Q83" i="1" s="1"/>
  <c r="CJ83" i="1"/>
  <c r="DF83" i="1"/>
  <c r="BC84" i="1"/>
  <c r="Q84" i="1" s="1"/>
  <c r="CJ84" i="1"/>
  <c r="DF84" i="1"/>
  <c r="BC85" i="1"/>
  <c r="Q85" i="1" s="1"/>
  <c r="CJ85" i="1"/>
  <c r="DF85" i="1"/>
  <c r="BC86" i="1"/>
  <c r="Q86" i="1" s="1"/>
  <c r="CJ86" i="1"/>
  <c r="DF86" i="1"/>
  <c r="BC87" i="1"/>
  <c r="Q87" i="1" s="1"/>
  <c r="CJ87" i="1"/>
  <c r="DF87" i="1"/>
  <c r="BC88" i="1"/>
  <c r="Q88" i="1" s="1"/>
  <c r="CJ88" i="1"/>
  <c r="DF88" i="1"/>
  <c r="BC89" i="1"/>
  <c r="Q89" i="1" s="1"/>
  <c r="CJ89" i="1"/>
  <c r="DF89" i="1"/>
  <c r="BC90" i="1"/>
  <c r="Q90" i="1" s="1"/>
  <c r="CJ90" i="1"/>
  <c r="DF90" i="1"/>
  <c r="BC91" i="1"/>
  <c r="Q91" i="1" s="1"/>
  <c r="CJ91" i="1"/>
  <c r="DF91" i="1"/>
  <c r="BC92" i="1"/>
  <c r="Q92" i="1" s="1"/>
  <c r="CJ92" i="1"/>
  <c r="DF92" i="1"/>
  <c r="BC93" i="1"/>
  <c r="Q93" i="1" s="1"/>
  <c r="CJ93" i="1"/>
  <c r="DF93" i="1"/>
  <c r="BC94" i="1"/>
  <c r="Q94" i="1" s="1"/>
  <c r="CJ94" i="1"/>
  <c r="DF94" i="1"/>
  <c r="BC95" i="1"/>
  <c r="Q95" i="1" s="1"/>
  <c r="CJ95" i="1"/>
  <c r="DF95" i="1"/>
  <c r="BC96" i="1"/>
  <c r="CJ96" i="1"/>
  <c r="Q96" i="1" s="1"/>
  <c r="DF96" i="1"/>
  <c r="BC97" i="1"/>
  <c r="CJ97" i="1"/>
  <c r="Q97" i="1" s="1"/>
  <c r="DF97" i="1"/>
  <c r="BC98" i="1"/>
  <c r="CJ98" i="1"/>
  <c r="Q98" i="1" s="1"/>
  <c r="DF98" i="1"/>
  <c r="BC99" i="1"/>
  <c r="CJ99" i="1"/>
  <c r="Q99" i="1" s="1"/>
  <c r="DF99" i="1"/>
  <c r="BC100" i="1"/>
  <c r="CJ100" i="1"/>
  <c r="Q100" i="1" s="1"/>
  <c r="DF100" i="1"/>
  <c r="BC101" i="1"/>
  <c r="CJ101" i="1"/>
  <c r="Q101" i="1" s="1"/>
  <c r="DF101" i="1"/>
  <c r="BC102" i="1"/>
  <c r="CJ102" i="1"/>
  <c r="Q102" i="1" s="1"/>
  <c r="DF102" i="1"/>
  <c r="BC103" i="1"/>
  <c r="CJ103" i="1"/>
  <c r="Q103" i="1" s="1"/>
  <c r="DF103" i="1"/>
  <c r="BC104" i="1"/>
  <c r="CJ104" i="1"/>
  <c r="Q104" i="1" s="1"/>
  <c r="DF104" i="1"/>
  <c r="BC105" i="1"/>
  <c r="CJ105" i="1"/>
  <c r="Q105" i="1" s="1"/>
  <c r="DF105" i="1"/>
  <c r="BC106" i="1"/>
  <c r="DF106" i="1"/>
  <c r="Q106" i="1"/>
  <c r="R3" i="1"/>
  <c r="R4" i="1"/>
  <c r="R5" i="1"/>
  <c r="R108" i="1" s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T3" i="1"/>
  <c r="V3" i="1" s="1"/>
  <c r="T4" i="1"/>
  <c r="T5" i="1"/>
  <c r="T6" i="1"/>
  <c r="T7" i="1"/>
  <c r="V7" i="1" s="1"/>
  <c r="T8" i="1"/>
  <c r="T9" i="1"/>
  <c r="T10" i="1"/>
  <c r="T11" i="1"/>
  <c r="V11" i="1" s="1"/>
  <c r="T12" i="1"/>
  <c r="T13" i="1"/>
  <c r="T14" i="1"/>
  <c r="T15" i="1"/>
  <c r="V15" i="1" s="1"/>
  <c r="T16" i="1"/>
  <c r="T17" i="1"/>
  <c r="T18" i="1"/>
  <c r="T19" i="1"/>
  <c r="V19" i="1" s="1"/>
  <c r="T20" i="1"/>
  <c r="T21" i="1"/>
  <c r="T22" i="1"/>
  <c r="T23" i="1"/>
  <c r="V23" i="1" s="1"/>
  <c r="T24" i="1"/>
  <c r="T25" i="1"/>
  <c r="T26" i="1"/>
  <c r="T27" i="1"/>
  <c r="V27" i="1" s="1"/>
  <c r="T28" i="1"/>
  <c r="T29" i="1"/>
  <c r="T30" i="1"/>
  <c r="T31" i="1"/>
  <c r="V31" i="1" s="1"/>
  <c r="T32" i="1"/>
  <c r="T33" i="1"/>
  <c r="T34" i="1"/>
  <c r="T35" i="1"/>
  <c r="V35" i="1" s="1"/>
  <c r="T36" i="1"/>
  <c r="T37" i="1"/>
  <c r="T38" i="1"/>
  <c r="T39" i="1"/>
  <c r="V39" i="1" s="1"/>
  <c r="T40" i="1"/>
  <c r="T41" i="1"/>
  <c r="T42" i="1"/>
  <c r="T43" i="1"/>
  <c r="V43" i="1" s="1"/>
  <c r="T44" i="1"/>
  <c r="T45" i="1"/>
  <c r="T46" i="1"/>
  <c r="T47" i="1"/>
  <c r="V47" i="1" s="1"/>
  <c r="T48" i="1"/>
  <c r="T49" i="1"/>
  <c r="T50" i="1"/>
  <c r="T51" i="1"/>
  <c r="V51" i="1" s="1"/>
  <c r="T52" i="1"/>
  <c r="T53" i="1"/>
  <c r="T54" i="1"/>
  <c r="T55" i="1"/>
  <c r="V55" i="1" s="1"/>
  <c r="T56" i="1"/>
  <c r="T57" i="1"/>
  <c r="T58" i="1"/>
  <c r="T59" i="1"/>
  <c r="V59" i="1" s="1"/>
  <c r="T60" i="1"/>
  <c r="T61" i="1"/>
  <c r="T62" i="1"/>
  <c r="T63" i="1"/>
  <c r="V63" i="1" s="1"/>
  <c r="T64" i="1"/>
  <c r="T65" i="1"/>
  <c r="T66" i="1"/>
  <c r="T67" i="1"/>
  <c r="V67" i="1" s="1"/>
  <c r="T68" i="1"/>
  <c r="T69" i="1"/>
  <c r="T70" i="1"/>
  <c r="T71" i="1"/>
  <c r="V71" i="1" s="1"/>
  <c r="T72" i="1"/>
  <c r="T73" i="1"/>
  <c r="T74" i="1"/>
  <c r="T75" i="1"/>
  <c r="V75" i="1" s="1"/>
  <c r="T76" i="1"/>
  <c r="T77" i="1"/>
  <c r="T78" i="1"/>
  <c r="T79" i="1"/>
  <c r="V79" i="1" s="1"/>
  <c r="T80" i="1"/>
  <c r="T81" i="1"/>
  <c r="T82" i="1"/>
  <c r="T83" i="1"/>
  <c r="V83" i="1" s="1"/>
  <c r="T84" i="1"/>
  <c r="T85" i="1"/>
  <c r="T86" i="1"/>
  <c r="V86" i="1" s="1"/>
  <c r="T87" i="1"/>
  <c r="V87" i="1" s="1"/>
  <c r="T88" i="1"/>
  <c r="T89" i="1"/>
  <c r="T90" i="1"/>
  <c r="V90" i="1" s="1"/>
  <c r="T91" i="1"/>
  <c r="V91" i="1" s="1"/>
  <c r="T92" i="1"/>
  <c r="T93" i="1"/>
  <c r="T94" i="1"/>
  <c r="V94" i="1" s="1"/>
  <c r="T95" i="1"/>
  <c r="V95" i="1" s="1"/>
  <c r="T96" i="1"/>
  <c r="T97" i="1"/>
  <c r="T98" i="1"/>
  <c r="V98" i="1" s="1"/>
  <c r="T99" i="1"/>
  <c r="V99" i="1" s="1"/>
  <c r="T100" i="1"/>
  <c r="T101" i="1"/>
  <c r="T102" i="1"/>
  <c r="V102" i="1" s="1"/>
  <c r="T103" i="1"/>
  <c r="V103" i="1" s="1"/>
  <c r="T104" i="1"/>
  <c r="T105" i="1"/>
  <c r="T106" i="1"/>
  <c r="V106" i="1" s="1"/>
  <c r="T108" i="1"/>
  <c r="U108" i="1"/>
  <c r="V4" i="1"/>
  <c r="V5" i="1"/>
  <c r="V6" i="1"/>
  <c r="V8" i="1"/>
  <c r="V9" i="1"/>
  <c r="V10" i="1"/>
  <c r="V12" i="1"/>
  <c r="V13" i="1"/>
  <c r="V14" i="1"/>
  <c r="V16" i="1"/>
  <c r="V17" i="1"/>
  <c r="V18" i="1"/>
  <c r="V20" i="1"/>
  <c r="V21" i="1"/>
  <c r="V22" i="1"/>
  <c r="V24" i="1"/>
  <c r="V25" i="1"/>
  <c r="V26" i="1"/>
  <c r="V28" i="1"/>
  <c r="V29" i="1"/>
  <c r="V30" i="1"/>
  <c r="V32" i="1"/>
  <c r="V33" i="1"/>
  <c r="V34" i="1"/>
  <c r="V36" i="1"/>
  <c r="V37" i="1"/>
  <c r="V38" i="1"/>
  <c r="V40" i="1"/>
  <c r="V41" i="1"/>
  <c r="V42" i="1"/>
  <c r="V44" i="1"/>
  <c r="V45" i="1"/>
  <c r="V46" i="1"/>
  <c r="V48" i="1"/>
  <c r="V49" i="1"/>
  <c r="V50" i="1"/>
  <c r="V52" i="1"/>
  <c r="V53" i="1"/>
  <c r="V54" i="1"/>
  <c r="V56" i="1"/>
  <c r="V57" i="1"/>
  <c r="V58" i="1"/>
  <c r="V60" i="1"/>
  <c r="V61" i="1"/>
  <c r="V62" i="1"/>
  <c r="V64" i="1"/>
  <c r="V65" i="1"/>
  <c r="V66" i="1"/>
  <c r="V68" i="1"/>
  <c r="V69" i="1"/>
  <c r="V70" i="1"/>
  <c r="V72" i="1"/>
  <c r="V73" i="1"/>
  <c r="V74" i="1"/>
  <c r="V76" i="1"/>
  <c r="V77" i="1"/>
  <c r="V78" i="1"/>
  <c r="V80" i="1"/>
  <c r="V81" i="1"/>
  <c r="V82" i="1"/>
  <c r="V84" i="1"/>
  <c r="V85" i="1"/>
  <c r="V88" i="1"/>
  <c r="V89" i="1"/>
  <c r="V92" i="1"/>
  <c r="V93" i="1"/>
  <c r="V96" i="1"/>
  <c r="V97" i="1"/>
  <c r="V100" i="1"/>
  <c r="V101" i="1"/>
  <c r="V104" i="1"/>
  <c r="V105" i="1"/>
  <c r="W3" i="1"/>
  <c r="W4" i="1"/>
  <c r="Y4" i="1" s="1"/>
  <c r="W5" i="1"/>
  <c r="W6" i="1"/>
  <c r="W7" i="1"/>
  <c r="W8" i="1"/>
  <c r="Y8" i="1" s="1"/>
  <c r="W9" i="1"/>
  <c r="W10" i="1"/>
  <c r="W11" i="1"/>
  <c r="W12" i="1"/>
  <c r="Y12" i="1" s="1"/>
  <c r="W13" i="1"/>
  <c r="W14" i="1"/>
  <c r="W15" i="1"/>
  <c r="W16" i="1"/>
  <c r="Y16" i="1" s="1"/>
  <c r="W17" i="1"/>
  <c r="W18" i="1"/>
  <c r="W19" i="1"/>
  <c r="W20" i="1"/>
  <c r="Y20" i="1" s="1"/>
  <c r="W21" i="1"/>
  <c r="W22" i="1"/>
  <c r="W23" i="1"/>
  <c r="Y23" i="1" s="1"/>
  <c r="W24" i="1"/>
  <c r="Y24" i="1" s="1"/>
  <c r="W25" i="1"/>
  <c r="W26" i="1"/>
  <c r="W27" i="1"/>
  <c r="Y27" i="1" s="1"/>
  <c r="W28" i="1"/>
  <c r="Y28" i="1" s="1"/>
  <c r="W29" i="1"/>
  <c r="W30" i="1"/>
  <c r="W31" i="1"/>
  <c r="Y31" i="1" s="1"/>
  <c r="W32" i="1"/>
  <c r="Y32" i="1" s="1"/>
  <c r="W33" i="1"/>
  <c r="W34" i="1"/>
  <c r="W35" i="1"/>
  <c r="Y35" i="1" s="1"/>
  <c r="W36" i="1"/>
  <c r="Y36" i="1" s="1"/>
  <c r="W37" i="1"/>
  <c r="W38" i="1"/>
  <c r="W39" i="1"/>
  <c r="Y39" i="1" s="1"/>
  <c r="W40" i="1"/>
  <c r="Y40" i="1" s="1"/>
  <c r="W41" i="1"/>
  <c r="W42" i="1"/>
  <c r="W43" i="1"/>
  <c r="Y43" i="1" s="1"/>
  <c r="W44" i="1"/>
  <c r="Y44" i="1" s="1"/>
  <c r="W45" i="1"/>
  <c r="W46" i="1"/>
  <c r="W47" i="1"/>
  <c r="Y47" i="1" s="1"/>
  <c r="W48" i="1"/>
  <c r="Y48" i="1" s="1"/>
  <c r="W49" i="1"/>
  <c r="W50" i="1"/>
  <c r="W51" i="1"/>
  <c r="Y51" i="1" s="1"/>
  <c r="W52" i="1"/>
  <c r="Y52" i="1" s="1"/>
  <c r="W53" i="1"/>
  <c r="W54" i="1"/>
  <c r="W55" i="1"/>
  <c r="Y55" i="1" s="1"/>
  <c r="W56" i="1"/>
  <c r="Y56" i="1" s="1"/>
  <c r="W57" i="1"/>
  <c r="W58" i="1"/>
  <c r="W59" i="1"/>
  <c r="Y59" i="1" s="1"/>
  <c r="W60" i="1"/>
  <c r="Y60" i="1" s="1"/>
  <c r="W61" i="1"/>
  <c r="W62" i="1"/>
  <c r="W63" i="1"/>
  <c r="Y63" i="1" s="1"/>
  <c r="W64" i="1"/>
  <c r="Y64" i="1" s="1"/>
  <c r="W65" i="1"/>
  <c r="W66" i="1"/>
  <c r="W67" i="1"/>
  <c r="Y67" i="1" s="1"/>
  <c r="W68" i="1"/>
  <c r="Y68" i="1" s="1"/>
  <c r="W69" i="1"/>
  <c r="W70" i="1"/>
  <c r="W71" i="1"/>
  <c r="Y71" i="1" s="1"/>
  <c r="W72" i="1"/>
  <c r="Y72" i="1" s="1"/>
  <c r="W73" i="1"/>
  <c r="W74" i="1"/>
  <c r="W75" i="1"/>
  <c r="Y75" i="1" s="1"/>
  <c r="W76" i="1"/>
  <c r="Y76" i="1" s="1"/>
  <c r="W77" i="1"/>
  <c r="W78" i="1"/>
  <c r="W79" i="1"/>
  <c r="Y79" i="1" s="1"/>
  <c r="W80" i="1"/>
  <c r="Y80" i="1" s="1"/>
  <c r="W81" i="1"/>
  <c r="W82" i="1"/>
  <c r="W83" i="1"/>
  <c r="Y83" i="1" s="1"/>
  <c r="W84" i="1"/>
  <c r="Y84" i="1" s="1"/>
  <c r="W85" i="1"/>
  <c r="W86" i="1"/>
  <c r="W87" i="1"/>
  <c r="Y87" i="1" s="1"/>
  <c r="W88" i="1"/>
  <c r="Y88" i="1" s="1"/>
  <c r="W89" i="1"/>
  <c r="W90" i="1"/>
  <c r="W91" i="1"/>
  <c r="Y91" i="1" s="1"/>
  <c r="W92" i="1"/>
  <c r="Y92" i="1" s="1"/>
  <c r="W93" i="1"/>
  <c r="W94" i="1"/>
  <c r="W95" i="1"/>
  <c r="Y95" i="1" s="1"/>
  <c r="W96" i="1"/>
  <c r="Y96" i="1" s="1"/>
  <c r="W97" i="1"/>
  <c r="W98" i="1"/>
  <c r="W99" i="1"/>
  <c r="Y99" i="1" s="1"/>
  <c r="W100" i="1"/>
  <c r="Y100" i="1" s="1"/>
  <c r="W101" i="1"/>
  <c r="W102" i="1"/>
  <c r="W103" i="1"/>
  <c r="Y103" i="1" s="1"/>
  <c r="W104" i="1"/>
  <c r="Y104" i="1" s="1"/>
  <c r="W105" i="1"/>
  <c r="W106" i="1"/>
  <c r="X108" i="1"/>
  <c r="Y3" i="1"/>
  <c r="Y5" i="1"/>
  <c r="Y6" i="1"/>
  <c r="Y7" i="1"/>
  <c r="Y9" i="1"/>
  <c r="Y10" i="1"/>
  <c r="Y11" i="1"/>
  <c r="Y13" i="1"/>
  <c r="Y14" i="1"/>
  <c r="Y15" i="1"/>
  <c r="Y17" i="1"/>
  <c r="Y18" i="1"/>
  <c r="Y19" i="1"/>
  <c r="Y21" i="1"/>
  <c r="Y22" i="1"/>
  <c r="Y25" i="1"/>
  <c r="Y26" i="1"/>
  <c r="Y29" i="1"/>
  <c r="Y30" i="1"/>
  <c r="Y33" i="1"/>
  <c r="Y34" i="1"/>
  <c r="Y37" i="1"/>
  <c r="Y38" i="1"/>
  <c r="Y41" i="1"/>
  <c r="Y42" i="1"/>
  <c r="Y45" i="1"/>
  <c r="Y46" i="1"/>
  <c r="Y49" i="1"/>
  <c r="Y50" i="1"/>
  <c r="Y53" i="1"/>
  <c r="Y54" i="1"/>
  <c r="Y57" i="1"/>
  <c r="Y58" i="1"/>
  <c r="Y61" i="1"/>
  <c r="Y62" i="1"/>
  <c r="Y65" i="1"/>
  <c r="Y66" i="1"/>
  <c r="Y69" i="1"/>
  <c r="Y70" i="1"/>
  <c r="Y73" i="1"/>
  <c r="Y74" i="1"/>
  <c r="Y77" i="1"/>
  <c r="Y78" i="1"/>
  <c r="Y81" i="1"/>
  <c r="Y82" i="1"/>
  <c r="Y85" i="1"/>
  <c r="Y86" i="1"/>
  <c r="Y89" i="1"/>
  <c r="Y90" i="1"/>
  <c r="Y93" i="1"/>
  <c r="Y94" i="1"/>
  <c r="Y97" i="1"/>
  <c r="Y98" i="1"/>
  <c r="Y101" i="1"/>
  <c r="Y102" i="1"/>
  <c r="Y105" i="1"/>
  <c r="Y106" i="1"/>
  <c r="Z108" i="1"/>
  <c r="AB108" i="1"/>
  <c r="AC108" i="1"/>
  <c r="AD108" i="1"/>
  <c r="AE108" i="1"/>
  <c r="AF3" i="1"/>
  <c r="AF4" i="1"/>
  <c r="AF108" i="1" s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8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I108" i="1"/>
  <c r="AJ108" i="1"/>
  <c r="AK3" i="1"/>
  <c r="AM3" i="1" s="1"/>
  <c r="AK4" i="1"/>
  <c r="AK5" i="1"/>
  <c r="AK6" i="1"/>
  <c r="AK7" i="1"/>
  <c r="AM7" i="1" s="1"/>
  <c r="AK8" i="1"/>
  <c r="AK9" i="1"/>
  <c r="AK10" i="1"/>
  <c r="AK11" i="1"/>
  <c r="AM11" i="1" s="1"/>
  <c r="AK12" i="1"/>
  <c r="AK13" i="1"/>
  <c r="AK14" i="1"/>
  <c r="AK15" i="1"/>
  <c r="AM15" i="1" s="1"/>
  <c r="AK16" i="1"/>
  <c r="AK17" i="1"/>
  <c r="AK18" i="1"/>
  <c r="AK19" i="1"/>
  <c r="AM19" i="1" s="1"/>
  <c r="AK20" i="1"/>
  <c r="AK21" i="1"/>
  <c r="AK22" i="1"/>
  <c r="AK23" i="1"/>
  <c r="AM23" i="1" s="1"/>
  <c r="AK24" i="1"/>
  <c r="AK25" i="1"/>
  <c r="AK26" i="1"/>
  <c r="AK27" i="1"/>
  <c r="AM27" i="1" s="1"/>
  <c r="AK28" i="1"/>
  <c r="AK29" i="1"/>
  <c r="AK30" i="1"/>
  <c r="AK31" i="1"/>
  <c r="AM31" i="1" s="1"/>
  <c r="AK32" i="1"/>
  <c r="AK33" i="1"/>
  <c r="AK34" i="1"/>
  <c r="AK35" i="1"/>
  <c r="AM35" i="1" s="1"/>
  <c r="AK36" i="1"/>
  <c r="AK37" i="1"/>
  <c r="AK38" i="1"/>
  <c r="AK39" i="1"/>
  <c r="AM39" i="1" s="1"/>
  <c r="AK40" i="1"/>
  <c r="AK41" i="1"/>
  <c r="AK42" i="1"/>
  <c r="AK43" i="1"/>
  <c r="AM43" i="1" s="1"/>
  <c r="AK44" i="1"/>
  <c r="AK45" i="1"/>
  <c r="AK46" i="1"/>
  <c r="AK47" i="1"/>
  <c r="AM47" i="1" s="1"/>
  <c r="AK48" i="1"/>
  <c r="AK49" i="1"/>
  <c r="AK50" i="1"/>
  <c r="AK51" i="1"/>
  <c r="AM51" i="1" s="1"/>
  <c r="AK52" i="1"/>
  <c r="AK53" i="1"/>
  <c r="AK54" i="1"/>
  <c r="AK55" i="1"/>
  <c r="AM55" i="1" s="1"/>
  <c r="AK56" i="1"/>
  <c r="AK57" i="1"/>
  <c r="AK58" i="1"/>
  <c r="AK59" i="1"/>
  <c r="AM59" i="1" s="1"/>
  <c r="AK60" i="1"/>
  <c r="AK61" i="1"/>
  <c r="AK62" i="1"/>
  <c r="AK63" i="1"/>
  <c r="AM63" i="1" s="1"/>
  <c r="AK64" i="1"/>
  <c r="AK65" i="1"/>
  <c r="AK66" i="1"/>
  <c r="AK67" i="1"/>
  <c r="AM67" i="1" s="1"/>
  <c r="AK68" i="1"/>
  <c r="AK69" i="1"/>
  <c r="AK70" i="1"/>
  <c r="AK71" i="1"/>
  <c r="AM71" i="1" s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8" i="1"/>
  <c r="AL3" i="1"/>
  <c r="AL4" i="1"/>
  <c r="AL5" i="1"/>
  <c r="AM5" i="1" s="1"/>
  <c r="AL6" i="1"/>
  <c r="AM6" i="1" s="1"/>
  <c r="AL7" i="1"/>
  <c r="AL8" i="1"/>
  <c r="AL9" i="1"/>
  <c r="AL10" i="1"/>
  <c r="AM10" i="1" s="1"/>
  <c r="AL11" i="1"/>
  <c r="AL12" i="1"/>
  <c r="AL13" i="1"/>
  <c r="AM13" i="1" s="1"/>
  <c r="AL14" i="1"/>
  <c r="AM14" i="1" s="1"/>
  <c r="AL15" i="1"/>
  <c r="AL16" i="1"/>
  <c r="AL17" i="1"/>
  <c r="AL18" i="1"/>
  <c r="AM18" i="1" s="1"/>
  <c r="AL19" i="1"/>
  <c r="AL20" i="1"/>
  <c r="AL21" i="1"/>
  <c r="AM21" i="1" s="1"/>
  <c r="AL22" i="1"/>
  <c r="AM22" i="1" s="1"/>
  <c r="AL23" i="1"/>
  <c r="AL24" i="1"/>
  <c r="AL25" i="1"/>
  <c r="AL26" i="1"/>
  <c r="AM26" i="1" s="1"/>
  <c r="AL27" i="1"/>
  <c r="AL28" i="1"/>
  <c r="AL29" i="1"/>
  <c r="AM29" i="1" s="1"/>
  <c r="AL30" i="1"/>
  <c r="AL31" i="1"/>
  <c r="AL32" i="1"/>
  <c r="AL33" i="1"/>
  <c r="AL34" i="1"/>
  <c r="AL35" i="1"/>
  <c r="AL36" i="1"/>
  <c r="AL37" i="1"/>
  <c r="AM37" i="1" s="1"/>
  <c r="AL38" i="1"/>
  <c r="AL39" i="1"/>
  <c r="AL40" i="1"/>
  <c r="AL41" i="1"/>
  <c r="AL42" i="1"/>
  <c r="AL43" i="1"/>
  <c r="AL44" i="1"/>
  <c r="AL45" i="1"/>
  <c r="AM45" i="1" s="1"/>
  <c r="AL46" i="1"/>
  <c r="AL47" i="1"/>
  <c r="AL48" i="1"/>
  <c r="AL49" i="1"/>
  <c r="AL50" i="1"/>
  <c r="AL51" i="1"/>
  <c r="AL52" i="1"/>
  <c r="AL53" i="1"/>
  <c r="AM53" i="1" s="1"/>
  <c r="AL54" i="1"/>
  <c r="AL55" i="1"/>
  <c r="AL56" i="1"/>
  <c r="AL57" i="1"/>
  <c r="AL58" i="1"/>
  <c r="AL59" i="1"/>
  <c r="AL60" i="1"/>
  <c r="AL61" i="1"/>
  <c r="AM61" i="1" s="1"/>
  <c r="AL62" i="1"/>
  <c r="AL63" i="1"/>
  <c r="AL64" i="1"/>
  <c r="AL65" i="1"/>
  <c r="AL66" i="1"/>
  <c r="AL67" i="1"/>
  <c r="AL68" i="1"/>
  <c r="AL69" i="1"/>
  <c r="AM69" i="1" s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M4" i="1"/>
  <c r="AM8" i="1"/>
  <c r="AM9" i="1"/>
  <c r="AM12" i="1"/>
  <c r="AM16" i="1"/>
  <c r="AM17" i="1"/>
  <c r="AM20" i="1"/>
  <c r="AM24" i="1"/>
  <c r="AM25" i="1"/>
  <c r="AM28" i="1"/>
  <c r="AM32" i="1"/>
  <c r="AM33" i="1"/>
  <c r="AM36" i="1"/>
  <c r="AM40" i="1"/>
  <c r="AM41" i="1"/>
  <c r="AM44" i="1"/>
  <c r="AM48" i="1"/>
  <c r="AM49" i="1"/>
  <c r="AM52" i="1"/>
  <c r="AM56" i="1"/>
  <c r="AM57" i="1"/>
  <c r="AM60" i="1"/>
  <c r="AM64" i="1"/>
  <c r="AM65" i="1"/>
  <c r="AM68" i="1"/>
  <c r="AM72" i="1"/>
  <c r="AM73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N108" i="1"/>
  <c r="AO108" i="1"/>
  <c r="AP108" i="1"/>
  <c r="AQ3" i="1"/>
  <c r="AQ4" i="1"/>
  <c r="AQ5" i="1"/>
  <c r="AQ6" i="1"/>
  <c r="AS6" i="1" s="1"/>
  <c r="AQ7" i="1"/>
  <c r="AQ8" i="1"/>
  <c r="AQ9" i="1"/>
  <c r="AQ10" i="1"/>
  <c r="AS10" i="1" s="1"/>
  <c r="AQ11" i="1"/>
  <c r="AQ12" i="1"/>
  <c r="AQ13" i="1"/>
  <c r="AQ14" i="1"/>
  <c r="AS14" i="1" s="1"/>
  <c r="AQ15" i="1"/>
  <c r="AQ16" i="1"/>
  <c r="AQ17" i="1"/>
  <c r="AQ18" i="1"/>
  <c r="AS18" i="1" s="1"/>
  <c r="AQ19" i="1"/>
  <c r="AQ20" i="1"/>
  <c r="AQ21" i="1"/>
  <c r="AQ22" i="1"/>
  <c r="AS22" i="1" s="1"/>
  <c r="AQ23" i="1"/>
  <c r="AQ24" i="1"/>
  <c r="AQ25" i="1"/>
  <c r="AQ26" i="1"/>
  <c r="AS26" i="1" s="1"/>
  <c r="AQ27" i="1"/>
  <c r="AQ28" i="1"/>
  <c r="AQ29" i="1"/>
  <c r="AQ30" i="1"/>
  <c r="AS30" i="1" s="1"/>
  <c r="AQ31" i="1"/>
  <c r="AQ32" i="1"/>
  <c r="AQ33" i="1"/>
  <c r="AQ34" i="1"/>
  <c r="AS34" i="1" s="1"/>
  <c r="AQ35" i="1"/>
  <c r="AQ36" i="1"/>
  <c r="AQ37" i="1"/>
  <c r="AQ38" i="1"/>
  <c r="AS38" i="1" s="1"/>
  <c r="AQ39" i="1"/>
  <c r="AQ40" i="1"/>
  <c r="AQ41" i="1"/>
  <c r="AQ42" i="1"/>
  <c r="AS42" i="1" s="1"/>
  <c r="AQ43" i="1"/>
  <c r="AQ44" i="1"/>
  <c r="AQ45" i="1"/>
  <c r="AQ46" i="1"/>
  <c r="AS46" i="1" s="1"/>
  <c r="AQ47" i="1"/>
  <c r="AQ48" i="1"/>
  <c r="AQ49" i="1"/>
  <c r="AQ50" i="1"/>
  <c r="AS50" i="1" s="1"/>
  <c r="AQ51" i="1"/>
  <c r="AQ52" i="1"/>
  <c r="AQ53" i="1"/>
  <c r="AQ54" i="1"/>
  <c r="AS54" i="1" s="1"/>
  <c r="AQ55" i="1"/>
  <c r="AQ56" i="1"/>
  <c r="AQ57" i="1"/>
  <c r="AQ58" i="1"/>
  <c r="AS58" i="1" s="1"/>
  <c r="AQ59" i="1"/>
  <c r="AQ60" i="1"/>
  <c r="AQ61" i="1"/>
  <c r="AQ62" i="1"/>
  <c r="AS62" i="1" s="1"/>
  <c r="AQ63" i="1"/>
  <c r="AQ64" i="1"/>
  <c r="AQ65" i="1"/>
  <c r="AQ66" i="1"/>
  <c r="AS66" i="1" s="1"/>
  <c r="AQ67" i="1"/>
  <c r="AQ68" i="1"/>
  <c r="AQ69" i="1"/>
  <c r="AQ70" i="1"/>
  <c r="AS70" i="1" s="1"/>
  <c r="AQ71" i="1"/>
  <c r="AQ72" i="1"/>
  <c r="AQ73" i="1"/>
  <c r="AQ74" i="1"/>
  <c r="AS74" i="1" s="1"/>
  <c r="AQ75" i="1"/>
  <c r="AQ76" i="1"/>
  <c r="AQ77" i="1"/>
  <c r="AQ78" i="1"/>
  <c r="AS78" i="1" s="1"/>
  <c r="AQ79" i="1"/>
  <c r="AQ80" i="1"/>
  <c r="AQ81" i="1"/>
  <c r="AQ82" i="1"/>
  <c r="AS82" i="1" s="1"/>
  <c r="AQ83" i="1"/>
  <c r="AQ84" i="1"/>
  <c r="AQ85" i="1"/>
  <c r="AQ86" i="1"/>
  <c r="AS86" i="1" s="1"/>
  <c r="AQ87" i="1"/>
  <c r="AQ88" i="1"/>
  <c r="AQ89" i="1"/>
  <c r="AQ90" i="1"/>
  <c r="AS90" i="1" s="1"/>
  <c r="AQ91" i="1"/>
  <c r="AQ92" i="1"/>
  <c r="AQ93" i="1"/>
  <c r="AQ94" i="1"/>
  <c r="AS94" i="1" s="1"/>
  <c r="AQ95" i="1"/>
  <c r="AQ96" i="1"/>
  <c r="AQ97" i="1"/>
  <c r="AQ98" i="1"/>
  <c r="AS98" i="1" s="1"/>
  <c r="AQ99" i="1"/>
  <c r="AQ100" i="1"/>
  <c r="AQ101" i="1"/>
  <c r="AQ102" i="1"/>
  <c r="AQ108" i="1" s="1"/>
  <c r="AQ103" i="1"/>
  <c r="AQ104" i="1"/>
  <c r="AQ105" i="1"/>
  <c r="AQ106" i="1"/>
  <c r="AS106" i="1" s="1"/>
  <c r="AR3" i="1"/>
  <c r="AR4" i="1"/>
  <c r="AR108" i="1" s="1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49" i="1"/>
  <c r="AR50" i="1"/>
  <c r="AR51" i="1"/>
  <c r="AR52" i="1"/>
  <c r="AR53" i="1"/>
  <c r="AR54" i="1"/>
  <c r="AR55" i="1"/>
  <c r="AR56" i="1"/>
  <c r="AR57" i="1"/>
  <c r="AR58" i="1"/>
  <c r="AR59" i="1"/>
  <c r="AR60" i="1"/>
  <c r="AR61" i="1"/>
  <c r="AR62" i="1"/>
  <c r="AR63" i="1"/>
  <c r="AR64" i="1"/>
  <c r="AR65" i="1"/>
  <c r="AR66" i="1"/>
  <c r="AR67" i="1"/>
  <c r="AR68" i="1"/>
  <c r="AR69" i="1"/>
  <c r="AR70" i="1"/>
  <c r="AR71" i="1"/>
  <c r="AR72" i="1"/>
  <c r="AR73" i="1"/>
  <c r="AR74" i="1"/>
  <c r="AR75" i="1"/>
  <c r="AR76" i="1"/>
  <c r="AR77" i="1"/>
  <c r="AR78" i="1"/>
  <c r="AR79" i="1"/>
  <c r="AR80" i="1"/>
  <c r="AR81" i="1"/>
  <c r="AR82" i="1"/>
  <c r="AR83" i="1"/>
  <c r="AR84" i="1"/>
  <c r="AR85" i="1"/>
  <c r="AR86" i="1"/>
  <c r="AR87" i="1"/>
  <c r="AR88" i="1"/>
  <c r="AR89" i="1"/>
  <c r="AR90" i="1"/>
  <c r="AR91" i="1"/>
  <c r="AR92" i="1"/>
  <c r="AR93" i="1"/>
  <c r="AR94" i="1"/>
  <c r="AR95" i="1"/>
  <c r="AR96" i="1"/>
  <c r="AR97" i="1"/>
  <c r="AR98" i="1"/>
  <c r="AR99" i="1"/>
  <c r="AR100" i="1"/>
  <c r="AR101" i="1"/>
  <c r="AR102" i="1"/>
  <c r="AR103" i="1"/>
  <c r="AR104" i="1"/>
  <c r="AR105" i="1"/>
  <c r="AR106" i="1"/>
  <c r="AS3" i="1"/>
  <c r="AS4" i="1"/>
  <c r="AS5" i="1"/>
  <c r="AS7" i="1"/>
  <c r="AS8" i="1"/>
  <c r="AS9" i="1"/>
  <c r="AS11" i="1"/>
  <c r="AS12" i="1"/>
  <c r="AS13" i="1"/>
  <c r="AS15" i="1"/>
  <c r="AS16" i="1"/>
  <c r="AS17" i="1"/>
  <c r="AS19" i="1"/>
  <c r="AS20" i="1"/>
  <c r="AS21" i="1"/>
  <c r="AS23" i="1"/>
  <c r="AS24" i="1"/>
  <c r="AS25" i="1"/>
  <c r="AS27" i="1"/>
  <c r="AS28" i="1"/>
  <c r="AS29" i="1"/>
  <c r="AS31" i="1"/>
  <c r="AS32" i="1"/>
  <c r="AS33" i="1"/>
  <c r="AS35" i="1"/>
  <c r="AS36" i="1"/>
  <c r="AS37" i="1"/>
  <c r="AS39" i="1"/>
  <c r="AS40" i="1"/>
  <c r="AS41" i="1"/>
  <c r="AS43" i="1"/>
  <c r="AS44" i="1"/>
  <c r="AS45" i="1"/>
  <c r="AS47" i="1"/>
  <c r="AS48" i="1"/>
  <c r="AS49" i="1"/>
  <c r="AS51" i="1"/>
  <c r="AS52" i="1"/>
  <c r="AS53" i="1"/>
  <c r="AS55" i="1"/>
  <c r="AS56" i="1"/>
  <c r="AS57" i="1"/>
  <c r="AS59" i="1"/>
  <c r="AS60" i="1"/>
  <c r="AS61" i="1"/>
  <c r="AS63" i="1"/>
  <c r="AS64" i="1"/>
  <c r="AS65" i="1"/>
  <c r="AS67" i="1"/>
  <c r="AS68" i="1"/>
  <c r="AS69" i="1"/>
  <c r="AS71" i="1"/>
  <c r="AS72" i="1"/>
  <c r="AS73" i="1"/>
  <c r="AS75" i="1"/>
  <c r="AS76" i="1"/>
  <c r="AS77" i="1"/>
  <c r="AS79" i="1"/>
  <c r="AS80" i="1"/>
  <c r="AS81" i="1"/>
  <c r="AS83" i="1"/>
  <c r="AS84" i="1"/>
  <c r="AS85" i="1"/>
  <c r="AS87" i="1"/>
  <c r="AS88" i="1"/>
  <c r="AS89" i="1"/>
  <c r="AS91" i="1"/>
  <c r="AS92" i="1"/>
  <c r="AS93" i="1"/>
  <c r="AS95" i="1"/>
  <c r="AS96" i="1"/>
  <c r="AS97" i="1"/>
  <c r="AS99" i="1"/>
  <c r="AS100" i="1"/>
  <c r="AS101" i="1"/>
  <c r="AS103" i="1"/>
  <c r="AS104" i="1"/>
  <c r="AS105" i="1"/>
  <c r="AT108" i="1"/>
  <c r="AW108" i="1"/>
  <c r="AX108" i="1"/>
  <c r="AY108" i="1"/>
  <c r="BA3" i="1"/>
  <c r="BA4" i="1"/>
  <c r="BA5" i="1"/>
  <c r="BA6" i="1"/>
  <c r="BA7" i="1"/>
  <c r="BA8" i="1"/>
  <c r="BA9" i="1"/>
  <c r="BA10" i="1"/>
  <c r="BA11" i="1"/>
  <c r="BA12" i="1"/>
  <c r="BA13" i="1"/>
  <c r="BA14" i="1"/>
  <c r="BA15" i="1"/>
  <c r="BA16" i="1"/>
  <c r="BA17" i="1"/>
  <c r="BA18" i="1"/>
  <c r="BA19" i="1"/>
  <c r="BA20" i="1"/>
  <c r="BA21" i="1"/>
  <c r="BA22" i="1"/>
  <c r="BA23" i="1"/>
  <c r="BA24" i="1"/>
  <c r="BA25" i="1"/>
  <c r="BA26" i="1"/>
  <c r="BA27" i="1"/>
  <c r="BA28" i="1"/>
  <c r="BA29" i="1"/>
  <c r="BA30" i="1"/>
  <c r="BA31" i="1"/>
  <c r="BA32" i="1"/>
  <c r="BA33" i="1"/>
  <c r="BA34" i="1"/>
  <c r="BA35" i="1"/>
  <c r="BA36" i="1"/>
  <c r="BA37" i="1"/>
  <c r="BA38" i="1"/>
  <c r="BA39" i="1"/>
  <c r="BA40" i="1"/>
  <c r="BA41" i="1"/>
  <c r="BA42" i="1"/>
  <c r="BA43" i="1"/>
  <c r="BA44" i="1"/>
  <c r="BA45" i="1"/>
  <c r="BA46" i="1"/>
  <c r="BA47" i="1"/>
  <c r="BA48" i="1"/>
  <c r="BA49" i="1"/>
  <c r="BA50" i="1"/>
  <c r="BA51" i="1"/>
  <c r="BA52" i="1"/>
  <c r="BA53" i="1"/>
  <c r="BA54" i="1"/>
  <c r="BA55" i="1"/>
  <c r="BA56" i="1"/>
  <c r="BA57" i="1"/>
  <c r="BA58" i="1"/>
  <c r="BA59" i="1"/>
  <c r="BA60" i="1"/>
  <c r="BA61" i="1"/>
  <c r="BA62" i="1"/>
  <c r="BA63" i="1"/>
  <c r="BA64" i="1"/>
  <c r="BA65" i="1"/>
  <c r="BA66" i="1"/>
  <c r="BA67" i="1"/>
  <c r="BA68" i="1"/>
  <c r="BA69" i="1"/>
  <c r="BA70" i="1"/>
  <c r="BA71" i="1"/>
  <c r="BA72" i="1"/>
  <c r="BA73" i="1"/>
  <c r="BA74" i="1"/>
  <c r="BA75" i="1"/>
  <c r="BA76" i="1"/>
  <c r="BA77" i="1"/>
  <c r="BA78" i="1"/>
  <c r="BA79" i="1"/>
  <c r="BA80" i="1"/>
  <c r="BA81" i="1"/>
  <c r="BA82" i="1"/>
  <c r="BA83" i="1"/>
  <c r="BA84" i="1"/>
  <c r="BA85" i="1"/>
  <c r="BA86" i="1"/>
  <c r="BA87" i="1"/>
  <c r="BA88" i="1"/>
  <c r="BA89" i="1"/>
  <c r="BA90" i="1"/>
  <c r="BA91" i="1"/>
  <c r="BA92" i="1"/>
  <c r="BA93" i="1"/>
  <c r="BA94" i="1"/>
  <c r="BA95" i="1"/>
  <c r="BA96" i="1"/>
  <c r="BA97" i="1"/>
  <c r="BA98" i="1"/>
  <c r="BA99" i="1"/>
  <c r="BA100" i="1"/>
  <c r="BA101" i="1"/>
  <c r="BA102" i="1"/>
  <c r="BA103" i="1"/>
  <c r="BA104" i="1"/>
  <c r="BA105" i="1"/>
  <c r="BA106" i="1"/>
  <c r="BA108" i="1"/>
  <c r="BB108" i="1"/>
  <c r="BC108" i="1"/>
  <c r="BD3" i="1"/>
  <c r="BD4" i="1"/>
  <c r="BD108" i="1" s="1"/>
  <c r="BD5" i="1"/>
  <c r="BD6" i="1"/>
  <c r="BD7" i="1"/>
  <c r="BD8" i="1"/>
  <c r="BD9" i="1"/>
  <c r="BD10" i="1"/>
  <c r="BD11" i="1"/>
  <c r="BD12" i="1"/>
  <c r="BD13" i="1"/>
  <c r="BD14" i="1"/>
  <c r="BD15" i="1"/>
  <c r="BD16" i="1"/>
  <c r="BD17" i="1"/>
  <c r="BD18" i="1"/>
  <c r="BD19" i="1"/>
  <c r="BD20" i="1"/>
  <c r="BD21" i="1"/>
  <c r="BD22" i="1"/>
  <c r="BD23" i="1"/>
  <c r="BD24" i="1"/>
  <c r="BD25" i="1"/>
  <c r="BD26" i="1"/>
  <c r="BD27" i="1"/>
  <c r="BD28" i="1"/>
  <c r="BD29" i="1"/>
  <c r="BD30" i="1"/>
  <c r="BD31" i="1"/>
  <c r="BD32" i="1"/>
  <c r="BD33" i="1"/>
  <c r="BD34" i="1"/>
  <c r="BD35" i="1"/>
  <c r="BD36" i="1"/>
  <c r="BD37" i="1"/>
  <c r="BD38" i="1"/>
  <c r="BD39" i="1"/>
  <c r="BD40" i="1"/>
  <c r="BD41" i="1"/>
  <c r="BD42" i="1"/>
  <c r="BD43" i="1"/>
  <c r="BD44" i="1"/>
  <c r="BD45" i="1"/>
  <c r="BD46" i="1"/>
  <c r="BD47" i="1"/>
  <c r="BD48" i="1"/>
  <c r="BD49" i="1"/>
  <c r="BD50" i="1"/>
  <c r="BD51" i="1"/>
  <c r="BD52" i="1"/>
  <c r="BD53" i="1"/>
  <c r="BD54" i="1"/>
  <c r="BD55" i="1"/>
  <c r="BD56" i="1"/>
  <c r="BD57" i="1"/>
  <c r="BD58" i="1"/>
  <c r="BD59" i="1"/>
  <c r="BD60" i="1"/>
  <c r="BD61" i="1"/>
  <c r="BD62" i="1"/>
  <c r="BD63" i="1"/>
  <c r="BD64" i="1"/>
  <c r="BD65" i="1"/>
  <c r="BD66" i="1"/>
  <c r="BD67" i="1"/>
  <c r="BD68" i="1"/>
  <c r="BD69" i="1"/>
  <c r="BD70" i="1"/>
  <c r="BD71" i="1"/>
  <c r="BD72" i="1"/>
  <c r="BD73" i="1"/>
  <c r="BD74" i="1"/>
  <c r="BD75" i="1"/>
  <c r="BD76" i="1"/>
  <c r="BD77" i="1"/>
  <c r="BD78" i="1"/>
  <c r="BD79" i="1"/>
  <c r="BD80" i="1"/>
  <c r="BD81" i="1"/>
  <c r="BD82" i="1"/>
  <c r="BD83" i="1"/>
  <c r="BD84" i="1"/>
  <c r="BD85" i="1"/>
  <c r="BD86" i="1"/>
  <c r="BD87" i="1"/>
  <c r="BD88" i="1"/>
  <c r="BD89" i="1"/>
  <c r="BD90" i="1"/>
  <c r="BD91" i="1"/>
  <c r="BD92" i="1"/>
  <c r="BD93" i="1"/>
  <c r="BD94" i="1"/>
  <c r="BD95" i="1"/>
  <c r="BD96" i="1"/>
  <c r="BD97" i="1"/>
  <c r="BD98" i="1"/>
  <c r="BD99" i="1"/>
  <c r="BD100" i="1"/>
  <c r="BD101" i="1"/>
  <c r="BD102" i="1"/>
  <c r="BD103" i="1"/>
  <c r="BD104" i="1"/>
  <c r="BD105" i="1"/>
  <c r="BD106" i="1"/>
  <c r="BE3" i="1"/>
  <c r="BE4" i="1"/>
  <c r="BE5" i="1"/>
  <c r="BE6" i="1"/>
  <c r="BE7" i="1"/>
  <c r="BE8" i="1"/>
  <c r="BE9" i="1"/>
  <c r="BE10" i="1"/>
  <c r="BE11" i="1"/>
  <c r="BE12" i="1"/>
  <c r="BE13" i="1"/>
  <c r="BE14" i="1"/>
  <c r="BE15" i="1"/>
  <c r="BE16" i="1"/>
  <c r="BE17" i="1"/>
  <c r="BE18" i="1"/>
  <c r="BE19" i="1"/>
  <c r="BE20" i="1"/>
  <c r="BE21" i="1"/>
  <c r="BE22" i="1"/>
  <c r="BE23" i="1"/>
  <c r="BE24" i="1"/>
  <c r="BE25" i="1"/>
  <c r="BE26" i="1"/>
  <c r="BE27" i="1"/>
  <c r="BE28" i="1"/>
  <c r="BE29" i="1"/>
  <c r="BE30" i="1"/>
  <c r="BE31" i="1"/>
  <c r="BE32" i="1"/>
  <c r="BE33" i="1"/>
  <c r="BE34" i="1"/>
  <c r="BE35" i="1"/>
  <c r="BE36" i="1"/>
  <c r="BE37" i="1"/>
  <c r="BE38" i="1"/>
  <c r="BE39" i="1"/>
  <c r="BE40" i="1"/>
  <c r="BE41" i="1"/>
  <c r="BE42" i="1"/>
  <c r="BE43" i="1"/>
  <c r="BE44" i="1"/>
  <c r="BE45" i="1"/>
  <c r="BE46" i="1"/>
  <c r="BE47" i="1"/>
  <c r="BE48" i="1"/>
  <c r="BE49" i="1"/>
  <c r="BE50" i="1"/>
  <c r="BE51" i="1"/>
  <c r="BE52" i="1"/>
  <c r="BE53" i="1"/>
  <c r="BE54" i="1"/>
  <c r="BE55" i="1"/>
  <c r="BE56" i="1"/>
  <c r="BE57" i="1"/>
  <c r="BE58" i="1"/>
  <c r="BE59" i="1"/>
  <c r="BE60" i="1"/>
  <c r="BE61" i="1"/>
  <c r="BE62" i="1"/>
  <c r="BE63" i="1"/>
  <c r="BE64" i="1"/>
  <c r="BE65" i="1"/>
  <c r="BE66" i="1"/>
  <c r="BE67" i="1"/>
  <c r="BE68" i="1"/>
  <c r="BE69" i="1"/>
  <c r="BE70" i="1"/>
  <c r="BE71" i="1"/>
  <c r="BE72" i="1"/>
  <c r="BE73" i="1"/>
  <c r="BE74" i="1"/>
  <c r="BE75" i="1"/>
  <c r="BE76" i="1"/>
  <c r="BE77" i="1"/>
  <c r="BE78" i="1"/>
  <c r="BE79" i="1"/>
  <c r="BE80" i="1"/>
  <c r="BE81" i="1"/>
  <c r="BE82" i="1"/>
  <c r="BE83" i="1"/>
  <c r="BE84" i="1"/>
  <c r="BE85" i="1"/>
  <c r="BE86" i="1"/>
  <c r="BE87" i="1"/>
  <c r="BE88" i="1"/>
  <c r="BE89" i="1"/>
  <c r="BE90" i="1"/>
  <c r="BE91" i="1"/>
  <c r="BE92" i="1"/>
  <c r="BE93" i="1"/>
  <c r="BE94" i="1"/>
  <c r="BE95" i="1"/>
  <c r="BE96" i="1"/>
  <c r="BE97" i="1"/>
  <c r="BE98" i="1"/>
  <c r="BE99" i="1"/>
  <c r="BE100" i="1"/>
  <c r="BE101" i="1"/>
  <c r="BE102" i="1"/>
  <c r="BE103" i="1"/>
  <c r="BE104" i="1"/>
  <c r="BE105" i="1"/>
  <c r="BE106" i="1"/>
  <c r="BE108" i="1"/>
  <c r="BF3" i="1"/>
  <c r="BF4" i="1"/>
  <c r="BF5" i="1"/>
  <c r="BF6" i="1"/>
  <c r="BF7" i="1"/>
  <c r="BF8" i="1"/>
  <c r="BF9" i="1"/>
  <c r="BF10" i="1"/>
  <c r="BF11" i="1"/>
  <c r="BF12" i="1"/>
  <c r="BF13" i="1"/>
  <c r="BF14" i="1"/>
  <c r="BF15" i="1"/>
  <c r="BF16" i="1"/>
  <c r="BF17" i="1"/>
  <c r="BF18" i="1"/>
  <c r="BF19" i="1"/>
  <c r="BF20" i="1"/>
  <c r="BF21" i="1"/>
  <c r="BF22" i="1"/>
  <c r="BF23" i="1"/>
  <c r="BF24" i="1"/>
  <c r="BF25" i="1"/>
  <c r="BF26" i="1"/>
  <c r="BF27" i="1"/>
  <c r="BF28" i="1"/>
  <c r="BF29" i="1"/>
  <c r="BF30" i="1"/>
  <c r="BF31" i="1"/>
  <c r="BF32" i="1"/>
  <c r="BF33" i="1"/>
  <c r="BF34" i="1"/>
  <c r="BF35" i="1"/>
  <c r="BF36" i="1"/>
  <c r="BF37" i="1"/>
  <c r="BF38" i="1"/>
  <c r="BF39" i="1"/>
  <c r="BF40" i="1"/>
  <c r="BF41" i="1"/>
  <c r="BF42" i="1"/>
  <c r="BF43" i="1"/>
  <c r="BF44" i="1"/>
  <c r="BF45" i="1"/>
  <c r="BF46" i="1"/>
  <c r="BF47" i="1"/>
  <c r="BF48" i="1"/>
  <c r="BF49" i="1"/>
  <c r="BF50" i="1"/>
  <c r="BF51" i="1"/>
  <c r="BF52" i="1"/>
  <c r="BF53" i="1"/>
  <c r="BF54" i="1"/>
  <c r="BF55" i="1"/>
  <c r="BF56" i="1"/>
  <c r="BF57" i="1"/>
  <c r="BF58" i="1"/>
  <c r="BF59" i="1"/>
  <c r="BF60" i="1"/>
  <c r="BF61" i="1"/>
  <c r="BF62" i="1"/>
  <c r="BF63" i="1"/>
  <c r="BF64" i="1"/>
  <c r="BF65" i="1"/>
  <c r="BF66" i="1"/>
  <c r="BF67" i="1"/>
  <c r="BF68" i="1"/>
  <c r="BF69" i="1"/>
  <c r="BF70" i="1"/>
  <c r="BF71" i="1"/>
  <c r="BF72" i="1"/>
  <c r="BF73" i="1"/>
  <c r="BF74" i="1"/>
  <c r="BF75" i="1"/>
  <c r="BF76" i="1"/>
  <c r="BF77" i="1"/>
  <c r="BF78" i="1"/>
  <c r="BF79" i="1"/>
  <c r="BF80" i="1"/>
  <c r="BF81" i="1"/>
  <c r="BF82" i="1"/>
  <c r="BF83" i="1"/>
  <c r="BF84" i="1"/>
  <c r="BF85" i="1"/>
  <c r="BF86" i="1"/>
  <c r="BF87" i="1"/>
  <c r="BF88" i="1"/>
  <c r="BF89" i="1"/>
  <c r="BF90" i="1"/>
  <c r="BF91" i="1"/>
  <c r="BF92" i="1"/>
  <c r="BF93" i="1"/>
  <c r="BF94" i="1"/>
  <c r="BF95" i="1"/>
  <c r="BF96" i="1"/>
  <c r="BF97" i="1"/>
  <c r="BF98" i="1"/>
  <c r="BF99" i="1"/>
  <c r="BF100" i="1"/>
  <c r="BF101" i="1"/>
  <c r="BF102" i="1"/>
  <c r="BF103" i="1"/>
  <c r="BF104" i="1"/>
  <c r="BF105" i="1"/>
  <c r="BF106" i="1"/>
  <c r="BG108" i="1"/>
  <c r="BI108" i="1"/>
  <c r="BJ108" i="1"/>
  <c r="BK108" i="1"/>
  <c r="BL108" i="1"/>
  <c r="BM3" i="1"/>
  <c r="BM4" i="1"/>
  <c r="BM108" i="1" s="1"/>
  <c r="BM5" i="1"/>
  <c r="BM6" i="1"/>
  <c r="BM7" i="1"/>
  <c r="BM8" i="1"/>
  <c r="BM9" i="1"/>
  <c r="BM10" i="1"/>
  <c r="BM11" i="1"/>
  <c r="BM12" i="1"/>
  <c r="BM13" i="1"/>
  <c r="BM14" i="1"/>
  <c r="BM15" i="1"/>
  <c r="BM16" i="1"/>
  <c r="BM17" i="1"/>
  <c r="BM18" i="1"/>
  <c r="BM19" i="1"/>
  <c r="BM20" i="1"/>
  <c r="BM21" i="1"/>
  <c r="BM22" i="1"/>
  <c r="BM23" i="1"/>
  <c r="BM24" i="1"/>
  <c r="BM25" i="1"/>
  <c r="BM26" i="1"/>
  <c r="BM27" i="1"/>
  <c r="BM28" i="1"/>
  <c r="BM29" i="1"/>
  <c r="BM30" i="1"/>
  <c r="BM31" i="1"/>
  <c r="BM32" i="1"/>
  <c r="BM33" i="1"/>
  <c r="BM34" i="1"/>
  <c r="BM35" i="1"/>
  <c r="BM36" i="1"/>
  <c r="BM37" i="1"/>
  <c r="BM38" i="1"/>
  <c r="BM39" i="1"/>
  <c r="BM40" i="1"/>
  <c r="BM41" i="1"/>
  <c r="BM42" i="1"/>
  <c r="BM43" i="1"/>
  <c r="BM44" i="1"/>
  <c r="BM45" i="1"/>
  <c r="BM46" i="1"/>
  <c r="BM47" i="1"/>
  <c r="BM48" i="1"/>
  <c r="BM49" i="1"/>
  <c r="BM50" i="1"/>
  <c r="BM51" i="1"/>
  <c r="BM52" i="1"/>
  <c r="BM53" i="1"/>
  <c r="BM54" i="1"/>
  <c r="BM55" i="1"/>
  <c r="BM56" i="1"/>
  <c r="BM57" i="1"/>
  <c r="BM58" i="1"/>
  <c r="BM59" i="1"/>
  <c r="BM60" i="1"/>
  <c r="BM61" i="1"/>
  <c r="BM62" i="1"/>
  <c r="BM63" i="1"/>
  <c r="BM64" i="1"/>
  <c r="BM65" i="1"/>
  <c r="BM66" i="1"/>
  <c r="BM67" i="1"/>
  <c r="BM68" i="1"/>
  <c r="BM69" i="1"/>
  <c r="BM70" i="1"/>
  <c r="BM71" i="1"/>
  <c r="BM72" i="1"/>
  <c r="BM73" i="1"/>
  <c r="BM74" i="1"/>
  <c r="BM75" i="1"/>
  <c r="BM76" i="1"/>
  <c r="BM77" i="1"/>
  <c r="BM78" i="1"/>
  <c r="BM79" i="1"/>
  <c r="BM80" i="1"/>
  <c r="BM81" i="1"/>
  <c r="BM82" i="1"/>
  <c r="BM83" i="1"/>
  <c r="BM84" i="1"/>
  <c r="BM85" i="1"/>
  <c r="BM86" i="1"/>
  <c r="BM87" i="1"/>
  <c r="BM88" i="1"/>
  <c r="BM89" i="1"/>
  <c r="BM90" i="1"/>
  <c r="BM91" i="1"/>
  <c r="BM92" i="1"/>
  <c r="BM93" i="1"/>
  <c r="BM94" i="1"/>
  <c r="BM95" i="1"/>
  <c r="BM96" i="1"/>
  <c r="BM97" i="1"/>
  <c r="BM98" i="1"/>
  <c r="BM99" i="1"/>
  <c r="BM100" i="1"/>
  <c r="BM101" i="1"/>
  <c r="BM102" i="1"/>
  <c r="BM103" i="1"/>
  <c r="BM104" i="1"/>
  <c r="BM105" i="1"/>
  <c r="BM106" i="1"/>
  <c r="BN3" i="1"/>
  <c r="BN4" i="1"/>
  <c r="BN5" i="1"/>
  <c r="BN6" i="1"/>
  <c r="BN7" i="1"/>
  <c r="BN8" i="1"/>
  <c r="BN9" i="1"/>
  <c r="BN10" i="1"/>
  <c r="BN11" i="1"/>
  <c r="BN12" i="1"/>
  <c r="BN13" i="1"/>
  <c r="BN14" i="1"/>
  <c r="BN15" i="1"/>
  <c r="BN16" i="1"/>
  <c r="BN17" i="1"/>
  <c r="BN18" i="1"/>
  <c r="BN19" i="1"/>
  <c r="BN20" i="1"/>
  <c r="BN21" i="1"/>
  <c r="BN22" i="1"/>
  <c r="BN23" i="1"/>
  <c r="BN24" i="1"/>
  <c r="BN25" i="1"/>
  <c r="BN26" i="1"/>
  <c r="BN27" i="1"/>
  <c r="BN28" i="1"/>
  <c r="BN29" i="1"/>
  <c r="BN30" i="1"/>
  <c r="BN31" i="1"/>
  <c r="BN32" i="1"/>
  <c r="BN33" i="1"/>
  <c r="BN34" i="1"/>
  <c r="BN35" i="1"/>
  <c r="BN36" i="1"/>
  <c r="BN37" i="1"/>
  <c r="BN38" i="1"/>
  <c r="BN39" i="1"/>
  <c r="BN40" i="1"/>
  <c r="BN41" i="1"/>
  <c r="BN42" i="1"/>
  <c r="BN43" i="1"/>
  <c r="BN44" i="1"/>
  <c r="BN45" i="1"/>
  <c r="BN46" i="1"/>
  <c r="BN47" i="1"/>
  <c r="BN48" i="1"/>
  <c r="BN49" i="1"/>
  <c r="BN50" i="1"/>
  <c r="BN51" i="1"/>
  <c r="BN52" i="1"/>
  <c r="BN53" i="1"/>
  <c r="BN54" i="1"/>
  <c r="BN55" i="1"/>
  <c r="BN56" i="1"/>
  <c r="BN57" i="1"/>
  <c r="BN58" i="1"/>
  <c r="BN59" i="1"/>
  <c r="BN60" i="1"/>
  <c r="BN61" i="1"/>
  <c r="BN62" i="1"/>
  <c r="BN63" i="1"/>
  <c r="BN64" i="1"/>
  <c r="BN65" i="1"/>
  <c r="BN66" i="1"/>
  <c r="BN67" i="1"/>
  <c r="BN68" i="1"/>
  <c r="BN69" i="1"/>
  <c r="BN70" i="1"/>
  <c r="BN71" i="1"/>
  <c r="BN72" i="1"/>
  <c r="BN73" i="1"/>
  <c r="BN74" i="1"/>
  <c r="BN75" i="1"/>
  <c r="BN76" i="1"/>
  <c r="BN77" i="1"/>
  <c r="BN78" i="1"/>
  <c r="BN79" i="1"/>
  <c r="BN80" i="1"/>
  <c r="BN81" i="1"/>
  <c r="BN82" i="1"/>
  <c r="BN83" i="1"/>
  <c r="BN84" i="1"/>
  <c r="BN85" i="1"/>
  <c r="BN86" i="1"/>
  <c r="BN87" i="1"/>
  <c r="BN88" i="1"/>
  <c r="BN89" i="1"/>
  <c r="BN90" i="1"/>
  <c r="BN91" i="1"/>
  <c r="BN92" i="1"/>
  <c r="BN93" i="1"/>
  <c r="BN94" i="1"/>
  <c r="BN95" i="1"/>
  <c r="BN96" i="1"/>
  <c r="BN97" i="1"/>
  <c r="BN98" i="1"/>
  <c r="BN99" i="1"/>
  <c r="BN100" i="1"/>
  <c r="BN101" i="1"/>
  <c r="BN102" i="1"/>
  <c r="BN103" i="1"/>
  <c r="BN104" i="1"/>
  <c r="BN105" i="1"/>
  <c r="BN106" i="1"/>
  <c r="BN108" i="1"/>
  <c r="BO3" i="1"/>
  <c r="BO4" i="1"/>
  <c r="BO5" i="1"/>
  <c r="BO6" i="1"/>
  <c r="BO7" i="1"/>
  <c r="BO8" i="1"/>
  <c r="BO9" i="1"/>
  <c r="BO10" i="1"/>
  <c r="BO11" i="1"/>
  <c r="BO12" i="1"/>
  <c r="BO13" i="1"/>
  <c r="BO14" i="1"/>
  <c r="BO15" i="1"/>
  <c r="BO16" i="1"/>
  <c r="BO17" i="1"/>
  <c r="BO18" i="1"/>
  <c r="BO19" i="1"/>
  <c r="BO20" i="1"/>
  <c r="BO21" i="1"/>
  <c r="BO22" i="1"/>
  <c r="BO23" i="1"/>
  <c r="BO24" i="1"/>
  <c r="BO25" i="1"/>
  <c r="BO26" i="1"/>
  <c r="BO27" i="1"/>
  <c r="BO28" i="1"/>
  <c r="BO29" i="1"/>
  <c r="BO30" i="1"/>
  <c r="BO31" i="1"/>
  <c r="BO32" i="1"/>
  <c r="BO33" i="1"/>
  <c r="BO34" i="1"/>
  <c r="BO35" i="1"/>
  <c r="BO36" i="1"/>
  <c r="BO37" i="1"/>
  <c r="BO38" i="1"/>
  <c r="BO39" i="1"/>
  <c r="BO40" i="1"/>
  <c r="BO41" i="1"/>
  <c r="BO42" i="1"/>
  <c r="BO43" i="1"/>
  <c r="BO44" i="1"/>
  <c r="BO45" i="1"/>
  <c r="BO46" i="1"/>
  <c r="BO47" i="1"/>
  <c r="BO48" i="1"/>
  <c r="BO49" i="1"/>
  <c r="BO50" i="1"/>
  <c r="BO51" i="1"/>
  <c r="BO52" i="1"/>
  <c r="BO53" i="1"/>
  <c r="BO54" i="1"/>
  <c r="BO55" i="1"/>
  <c r="BO56" i="1"/>
  <c r="BO57" i="1"/>
  <c r="BO58" i="1"/>
  <c r="BO59" i="1"/>
  <c r="BO60" i="1"/>
  <c r="BO61" i="1"/>
  <c r="BO62" i="1"/>
  <c r="BO63" i="1"/>
  <c r="BO64" i="1"/>
  <c r="BO65" i="1"/>
  <c r="BO66" i="1"/>
  <c r="BO67" i="1"/>
  <c r="BO68" i="1"/>
  <c r="BO69" i="1"/>
  <c r="BO70" i="1"/>
  <c r="BO71" i="1"/>
  <c r="BO72" i="1"/>
  <c r="BO73" i="1"/>
  <c r="BO74" i="1"/>
  <c r="BO75" i="1"/>
  <c r="BO76" i="1"/>
  <c r="BO77" i="1"/>
  <c r="BO78" i="1"/>
  <c r="BO79" i="1"/>
  <c r="BO80" i="1"/>
  <c r="BO81" i="1"/>
  <c r="BO82" i="1"/>
  <c r="BO83" i="1"/>
  <c r="BO84" i="1"/>
  <c r="BO85" i="1"/>
  <c r="BO86" i="1"/>
  <c r="BO87" i="1"/>
  <c r="BO88" i="1"/>
  <c r="BO89" i="1"/>
  <c r="BO90" i="1"/>
  <c r="BO91" i="1"/>
  <c r="BO92" i="1"/>
  <c r="BO93" i="1"/>
  <c r="BO94" i="1"/>
  <c r="BO95" i="1"/>
  <c r="BO96" i="1"/>
  <c r="BO97" i="1"/>
  <c r="BO98" i="1"/>
  <c r="BO108" i="1" s="1"/>
  <c r="BO99" i="1"/>
  <c r="BO100" i="1"/>
  <c r="BO101" i="1"/>
  <c r="BO102" i="1"/>
  <c r="BO103" i="1"/>
  <c r="BO104" i="1"/>
  <c r="BO105" i="1"/>
  <c r="BO106" i="1"/>
  <c r="BP108" i="1"/>
  <c r="BQ108" i="1"/>
  <c r="BR3" i="1"/>
  <c r="BR4" i="1"/>
  <c r="BR5" i="1"/>
  <c r="BR6" i="1"/>
  <c r="BR7" i="1"/>
  <c r="BR8" i="1"/>
  <c r="BR9" i="1"/>
  <c r="BR10" i="1"/>
  <c r="BR11" i="1"/>
  <c r="BR12" i="1"/>
  <c r="BR13" i="1"/>
  <c r="BR14" i="1"/>
  <c r="BR15" i="1"/>
  <c r="BR16" i="1"/>
  <c r="BR17" i="1"/>
  <c r="BR18" i="1"/>
  <c r="BR19" i="1"/>
  <c r="BR20" i="1"/>
  <c r="BR21" i="1"/>
  <c r="BR22" i="1"/>
  <c r="BR23" i="1"/>
  <c r="BR24" i="1"/>
  <c r="BR25" i="1"/>
  <c r="BR26" i="1"/>
  <c r="BR27" i="1"/>
  <c r="BR28" i="1"/>
  <c r="BR29" i="1"/>
  <c r="BR30" i="1"/>
  <c r="BR31" i="1"/>
  <c r="BR32" i="1"/>
  <c r="BR33" i="1"/>
  <c r="BR34" i="1"/>
  <c r="BR35" i="1"/>
  <c r="BR36" i="1"/>
  <c r="BR37" i="1"/>
  <c r="BR38" i="1"/>
  <c r="BR39" i="1"/>
  <c r="BR40" i="1"/>
  <c r="BR41" i="1"/>
  <c r="BR42" i="1"/>
  <c r="BR43" i="1"/>
  <c r="BR44" i="1"/>
  <c r="BR45" i="1"/>
  <c r="BR46" i="1"/>
  <c r="BR47" i="1"/>
  <c r="BT47" i="1" s="1"/>
  <c r="BR48" i="1"/>
  <c r="BR49" i="1"/>
  <c r="BR50" i="1"/>
  <c r="BR51" i="1"/>
  <c r="BT51" i="1" s="1"/>
  <c r="BR52" i="1"/>
  <c r="BR53" i="1"/>
  <c r="BR54" i="1"/>
  <c r="BR55" i="1"/>
  <c r="BT55" i="1" s="1"/>
  <c r="BR56" i="1"/>
  <c r="BR57" i="1"/>
  <c r="BR58" i="1"/>
  <c r="BR59" i="1"/>
  <c r="BT59" i="1" s="1"/>
  <c r="BR60" i="1"/>
  <c r="BR61" i="1"/>
  <c r="BR62" i="1"/>
  <c r="BR63" i="1"/>
  <c r="BT63" i="1" s="1"/>
  <c r="BR64" i="1"/>
  <c r="BR65" i="1"/>
  <c r="BR66" i="1"/>
  <c r="BR67" i="1"/>
  <c r="BT67" i="1" s="1"/>
  <c r="BR68" i="1"/>
  <c r="BR69" i="1"/>
  <c r="BR70" i="1"/>
  <c r="BR71" i="1"/>
  <c r="BT71" i="1" s="1"/>
  <c r="BR72" i="1"/>
  <c r="BR73" i="1"/>
  <c r="BR74" i="1"/>
  <c r="BR75" i="1"/>
  <c r="BT75" i="1" s="1"/>
  <c r="BR76" i="1"/>
  <c r="BR77" i="1"/>
  <c r="BR78" i="1"/>
  <c r="BR79" i="1"/>
  <c r="BR80" i="1"/>
  <c r="BR81" i="1"/>
  <c r="BR82" i="1"/>
  <c r="BR83" i="1"/>
  <c r="BR84" i="1"/>
  <c r="BR85" i="1"/>
  <c r="BR86" i="1"/>
  <c r="BR87" i="1"/>
  <c r="BR88" i="1"/>
  <c r="BR89" i="1"/>
  <c r="BR90" i="1"/>
  <c r="BR91" i="1"/>
  <c r="BR92" i="1"/>
  <c r="BR93" i="1"/>
  <c r="BR94" i="1"/>
  <c r="BR95" i="1"/>
  <c r="BR96" i="1"/>
  <c r="BR97" i="1"/>
  <c r="BR98" i="1"/>
  <c r="BR99" i="1"/>
  <c r="BR100" i="1"/>
  <c r="BR101" i="1"/>
  <c r="BR102" i="1"/>
  <c r="BR103" i="1"/>
  <c r="BR104" i="1"/>
  <c r="BR105" i="1"/>
  <c r="BR106" i="1"/>
  <c r="BR108" i="1"/>
  <c r="BS3" i="1"/>
  <c r="BT3" i="1" s="1"/>
  <c r="BS4" i="1"/>
  <c r="BS5" i="1"/>
  <c r="BS6" i="1"/>
  <c r="BS7" i="1"/>
  <c r="BT7" i="1" s="1"/>
  <c r="BS8" i="1"/>
  <c r="BS9" i="1"/>
  <c r="BS10" i="1"/>
  <c r="BS11" i="1"/>
  <c r="BT11" i="1" s="1"/>
  <c r="BS12" i="1"/>
  <c r="BS13" i="1"/>
  <c r="BS14" i="1"/>
  <c r="BS15" i="1"/>
  <c r="BT15" i="1" s="1"/>
  <c r="BS16" i="1"/>
  <c r="BS17" i="1"/>
  <c r="BS18" i="1"/>
  <c r="BS19" i="1"/>
  <c r="BT19" i="1" s="1"/>
  <c r="BS20" i="1"/>
  <c r="BS21" i="1"/>
  <c r="BS22" i="1"/>
  <c r="BS23" i="1"/>
  <c r="BT23" i="1" s="1"/>
  <c r="BS24" i="1"/>
  <c r="BS25" i="1"/>
  <c r="BS26" i="1"/>
  <c r="BS27" i="1"/>
  <c r="BT27" i="1" s="1"/>
  <c r="BS28" i="1"/>
  <c r="BS29" i="1"/>
  <c r="BS30" i="1"/>
  <c r="BS31" i="1"/>
  <c r="BT31" i="1" s="1"/>
  <c r="BS32" i="1"/>
  <c r="BS33" i="1"/>
  <c r="BS34" i="1"/>
  <c r="BS35" i="1"/>
  <c r="BT35" i="1" s="1"/>
  <c r="BS36" i="1"/>
  <c r="BS37" i="1"/>
  <c r="BS38" i="1"/>
  <c r="BS39" i="1"/>
  <c r="BT39" i="1" s="1"/>
  <c r="BS40" i="1"/>
  <c r="BS41" i="1"/>
  <c r="BS42" i="1"/>
  <c r="BS43" i="1"/>
  <c r="BT43" i="1" s="1"/>
  <c r="BS44" i="1"/>
  <c r="BS45" i="1"/>
  <c r="BS46" i="1"/>
  <c r="BS47" i="1"/>
  <c r="BS48" i="1"/>
  <c r="BS49" i="1"/>
  <c r="BS50" i="1"/>
  <c r="BS51" i="1"/>
  <c r="BS52" i="1"/>
  <c r="BS53" i="1"/>
  <c r="BS54" i="1"/>
  <c r="BS55" i="1"/>
  <c r="BS56" i="1"/>
  <c r="BS57" i="1"/>
  <c r="BS58" i="1"/>
  <c r="BS108" i="1" s="1"/>
  <c r="BS59" i="1"/>
  <c r="BS60" i="1"/>
  <c r="BS61" i="1"/>
  <c r="BS62" i="1"/>
  <c r="BS63" i="1"/>
  <c r="BS64" i="1"/>
  <c r="BS65" i="1"/>
  <c r="BS66" i="1"/>
  <c r="BS67" i="1"/>
  <c r="BS68" i="1"/>
  <c r="BS69" i="1"/>
  <c r="BS70" i="1"/>
  <c r="BS71" i="1"/>
  <c r="BS72" i="1"/>
  <c r="BS73" i="1"/>
  <c r="BS74" i="1"/>
  <c r="BS75" i="1"/>
  <c r="BS76" i="1"/>
  <c r="BS77" i="1"/>
  <c r="BS78" i="1"/>
  <c r="BS79" i="1"/>
  <c r="BT79" i="1" s="1"/>
  <c r="BS80" i="1"/>
  <c r="BS81" i="1"/>
  <c r="BS82" i="1"/>
  <c r="BS83" i="1"/>
  <c r="BT83" i="1" s="1"/>
  <c r="BS84" i="1"/>
  <c r="BS85" i="1"/>
  <c r="BS86" i="1"/>
  <c r="BS87" i="1"/>
  <c r="BT87" i="1" s="1"/>
  <c r="BS88" i="1"/>
  <c r="BS89" i="1"/>
  <c r="BS90" i="1"/>
  <c r="BS91" i="1"/>
  <c r="BT91" i="1" s="1"/>
  <c r="BS92" i="1"/>
  <c r="BS93" i="1"/>
  <c r="BS94" i="1"/>
  <c r="BS95" i="1"/>
  <c r="BT95" i="1" s="1"/>
  <c r="BS96" i="1"/>
  <c r="BS97" i="1"/>
  <c r="BS98" i="1"/>
  <c r="BS99" i="1"/>
  <c r="BT99" i="1" s="1"/>
  <c r="BS100" i="1"/>
  <c r="BS101" i="1"/>
  <c r="BS102" i="1"/>
  <c r="BS103" i="1"/>
  <c r="BT103" i="1" s="1"/>
  <c r="BS104" i="1"/>
  <c r="BS105" i="1"/>
  <c r="BS106" i="1"/>
  <c r="BT4" i="1"/>
  <c r="BT5" i="1"/>
  <c r="BT6" i="1"/>
  <c r="BT8" i="1"/>
  <c r="BT9" i="1"/>
  <c r="BT10" i="1"/>
  <c r="BT12" i="1"/>
  <c r="BT13" i="1"/>
  <c r="BT14" i="1"/>
  <c r="BT16" i="1"/>
  <c r="BT17" i="1"/>
  <c r="BT18" i="1"/>
  <c r="BT20" i="1"/>
  <c r="BT21" i="1"/>
  <c r="BT22" i="1"/>
  <c r="BT24" i="1"/>
  <c r="BT25" i="1"/>
  <c r="BT26" i="1"/>
  <c r="BT28" i="1"/>
  <c r="BT29" i="1"/>
  <c r="BT30" i="1"/>
  <c r="BT32" i="1"/>
  <c r="BT33" i="1"/>
  <c r="BT34" i="1"/>
  <c r="BT36" i="1"/>
  <c r="BT37" i="1"/>
  <c r="BT38" i="1"/>
  <c r="BT40" i="1"/>
  <c r="BT41" i="1"/>
  <c r="BT42" i="1"/>
  <c r="BT44" i="1"/>
  <c r="BT45" i="1"/>
  <c r="BT46" i="1"/>
  <c r="BT48" i="1"/>
  <c r="BT49" i="1"/>
  <c r="BT50" i="1"/>
  <c r="BT52" i="1"/>
  <c r="BT53" i="1"/>
  <c r="BT54" i="1"/>
  <c r="BT56" i="1"/>
  <c r="BT57" i="1"/>
  <c r="BT58" i="1"/>
  <c r="BT60" i="1"/>
  <c r="BT61" i="1"/>
  <c r="BT62" i="1"/>
  <c r="BT64" i="1"/>
  <c r="BT65" i="1"/>
  <c r="BT66" i="1"/>
  <c r="BT68" i="1"/>
  <c r="BT69" i="1"/>
  <c r="BT70" i="1"/>
  <c r="BT72" i="1"/>
  <c r="BT73" i="1"/>
  <c r="BT74" i="1"/>
  <c r="BT76" i="1"/>
  <c r="BT77" i="1"/>
  <c r="BT78" i="1"/>
  <c r="BT80" i="1"/>
  <c r="BT81" i="1"/>
  <c r="BT82" i="1"/>
  <c r="BT84" i="1"/>
  <c r="BT85" i="1"/>
  <c r="BT86" i="1"/>
  <c r="BT88" i="1"/>
  <c r="BT89" i="1"/>
  <c r="BT90" i="1"/>
  <c r="BT92" i="1"/>
  <c r="BT93" i="1"/>
  <c r="BT94" i="1"/>
  <c r="BT96" i="1"/>
  <c r="BT97" i="1"/>
  <c r="BT98" i="1"/>
  <c r="BT100" i="1"/>
  <c r="BT101" i="1"/>
  <c r="BT102" i="1"/>
  <c r="BT104" i="1"/>
  <c r="BT105" i="1"/>
  <c r="BT106" i="1"/>
  <c r="BU108" i="1"/>
  <c r="BV108" i="1"/>
  <c r="BW108" i="1"/>
  <c r="BX3" i="1"/>
  <c r="BX4" i="1"/>
  <c r="BX5" i="1"/>
  <c r="BX108" i="1" s="1"/>
  <c r="BX6" i="1"/>
  <c r="BX7" i="1"/>
  <c r="BX8" i="1"/>
  <c r="BX9" i="1"/>
  <c r="BX10" i="1"/>
  <c r="BX11" i="1"/>
  <c r="BX12" i="1"/>
  <c r="BX13" i="1"/>
  <c r="BX14" i="1"/>
  <c r="BX15" i="1"/>
  <c r="BX16" i="1"/>
  <c r="BX17" i="1"/>
  <c r="BX18" i="1"/>
  <c r="BX19" i="1"/>
  <c r="BX20" i="1"/>
  <c r="BX21" i="1"/>
  <c r="BX22" i="1"/>
  <c r="BX23" i="1"/>
  <c r="BX24" i="1"/>
  <c r="BX25" i="1"/>
  <c r="BX26" i="1"/>
  <c r="BX27" i="1"/>
  <c r="BX28" i="1"/>
  <c r="BX29" i="1"/>
  <c r="BX30" i="1"/>
  <c r="BX31" i="1"/>
  <c r="BX32" i="1"/>
  <c r="BX33" i="1"/>
  <c r="BX34" i="1"/>
  <c r="BX35" i="1"/>
  <c r="BX36" i="1"/>
  <c r="BX37" i="1"/>
  <c r="BX38" i="1"/>
  <c r="BX39" i="1"/>
  <c r="BX40" i="1"/>
  <c r="BX41" i="1"/>
  <c r="BX42" i="1"/>
  <c r="BX43" i="1"/>
  <c r="BX44" i="1"/>
  <c r="BX45" i="1"/>
  <c r="BX46" i="1"/>
  <c r="BX47" i="1"/>
  <c r="BX48" i="1"/>
  <c r="BX49" i="1"/>
  <c r="BX50" i="1"/>
  <c r="BX51" i="1"/>
  <c r="BX52" i="1"/>
  <c r="BX53" i="1"/>
  <c r="BX54" i="1"/>
  <c r="BX55" i="1"/>
  <c r="BX56" i="1"/>
  <c r="BX57" i="1"/>
  <c r="BX58" i="1"/>
  <c r="BX59" i="1"/>
  <c r="BX60" i="1"/>
  <c r="BX61" i="1"/>
  <c r="BX62" i="1"/>
  <c r="BX63" i="1"/>
  <c r="BX64" i="1"/>
  <c r="BX65" i="1"/>
  <c r="BX66" i="1"/>
  <c r="BX67" i="1"/>
  <c r="BX68" i="1"/>
  <c r="BX69" i="1"/>
  <c r="BX70" i="1"/>
  <c r="BX71" i="1"/>
  <c r="BX72" i="1"/>
  <c r="BX73" i="1"/>
  <c r="BX74" i="1"/>
  <c r="BX75" i="1"/>
  <c r="BX76" i="1"/>
  <c r="BX77" i="1"/>
  <c r="BX78" i="1"/>
  <c r="BX79" i="1"/>
  <c r="BX80" i="1"/>
  <c r="BX81" i="1"/>
  <c r="BX82" i="1"/>
  <c r="BX83" i="1"/>
  <c r="BX84" i="1"/>
  <c r="BX85" i="1"/>
  <c r="BX86" i="1"/>
  <c r="BX87" i="1"/>
  <c r="BX88" i="1"/>
  <c r="BX89" i="1"/>
  <c r="BX90" i="1"/>
  <c r="BX91" i="1"/>
  <c r="BX92" i="1"/>
  <c r="BX93" i="1"/>
  <c r="BX94" i="1"/>
  <c r="BX95" i="1"/>
  <c r="BX96" i="1"/>
  <c r="BX97" i="1"/>
  <c r="BX98" i="1"/>
  <c r="BX99" i="1"/>
  <c r="BX100" i="1"/>
  <c r="BX101" i="1"/>
  <c r="BX102" i="1"/>
  <c r="BX103" i="1"/>
  <c r="BX104" i="1"/>
  <c r="BX105" i="1"/>
  <c r="BX106" i="1"/>
  <c r="BY3" i="1"/>
  <c r="BY4" i="1"/>
  <c r="BY108" i="1" s="1"/>
  <c r="BY5" i="1"/>
  <c r="BZ5" i="1" s="1"/>
  <c r="BY6" i="1"/>
  <c r="BY7" i="1"/>
  <c r="BY8" i="1"/>
  <c r="BY9" i="1"/>
  <c r="BZ9" i="1" s="1"/>
  <c r="BY10" i="1"/>
  <c r="BY11" i="1"/>
  <c r="BY12" i="1"/>
  <c r="BY13" i="1"/>
  <c r="BZ13" i="1" s="1"/>
  <c r="BY14" i="1"/>
  <c r="BY15" i="1"/>
  <c r="BY16" i="1"/>
  <c r="BY17" i="1"/>
  <c r="BZ17" i="1" s="1"/>
  <c r="BY18" i="1"/>
  <c r="BY19" i="1"/>
  <c r="BY20" i="1"/>
  <c r="BY21" i="1"/>
  <c r="BZ21" i="1" s="1"/>
  <c r="BY22" i="1"/>
  <c r="BY23" i="1"/>
  <c r="BY24" i="1"/>
  <c r="BY25" i="1"/>
  <c r="BZ25" i="1" s="1"/>
  <c r="BY26" i="1"/>
  <c r="BY27" i="1"/>
  <c r="BY28" i="1"/>
  <c r="BY29" i="1"/>
  <c r="BZ29" i="1" s="1"/>
  <c r="BY30" i="1"/>
  <c r="BY31" i="1"/>
  <c r="BY32" i="1"/>
  <c r="BY33" i="1"/>
  <c r="BZ33" i="1" s="1"/>
  <c r="BY34" i="1"/>
  <c r="BY35" i="1"/>
  <c r="BY36" i="1"/>
  <c r="BY37" i="1"/>
  <c r="BZ37" i="1" s="1"/>
  <c r="BY38" i="1"/>
  <c r="BY39" i="1"/>
  <c r="BY40" i="1"/>
  <c r="BY41" i="1"/>
  <c r="BZ41" i="1" s="1"/>
  <c r="BY42" i="1"/>
  <c r="BY43" i="1"/>
  <c r="BY44" i="1"/>
  <c r="BY45" i="1"/>
  <c r="BZ45" i="1" s="1"/>
  <c r="BY46" i="1"/>
  <c r="BY47" i="1"/>
  <c r="BY48" i="1"/>
  <c r="BY49" i="1"/>
  <c r="BZ49" i="1" s="1"/>
  <c r="BY50" i="1"/>
  <c r="BY51" i="1"/>
  <c r="BY52" i="1"/>
  <c r="BY53" i="1"/>
  <c r="BZ53" i="1" s="1"/>
  <c r="BY54" i="1"/>
  <c r="BY55" i="1"/>
  <c r="BY56" i="1"/>
  <c r="BY57" i="1"/>
  <c r="BZ57" i="1" s="1"/>
  <c r="BY58" i="1"/>
  <c r="BY59" i="1"/>
  <c r="BY60" i="1"/>
  <c r="BY61" i="1"/>
  <c r="BZ61" i="1" s="1"/>
  <c r="BY62" i="1"/>
  <c r="BY63" i="1"/>
  <c r="BY64" i="1"/>
  <c r="BY65" i="1"/>
  <c r="BZ65" i="1" s="1"/>
  <c r="BY66" i="1"/>
  <c r="BY67" i="1"/>
  <c r="BY68" i="1"/>
  <c r="BY69" i="1"/>
  <c r="BZ69" i="1" s="1"/>
  <c r="BY70" i="1"/>
  <c r="BY71" i="1"/>
  <c r="BY72" i="1"/>
  <c r="BY73" i="1"/>
  <c r="BZ73" i="1" s="1"/>
  <c r="BY74" i="1"/>
  <c r="BY75" i="1"/>
  <c r="BY76" i="1"/>
  <c r="BY77" i="1"/>
  <c r="BZ77" i="1" s="1"/>
  <c r="BY78" i="1"/>
  <c r="BY79" i="1"/>
  <c r="BY80" i="1"/>
  <c r="BY81" i="1"/>
  <c r="BZ81" i="1" s="1"/>
  <c r="BY82" i="1"/>
  <c r="BY83" i="1"/>
  <c r="BY84" i="1"/>
  <c r="BY85" i="1"/>
  <c r="BZ85" i="1" s="1"/>
  <c r="BY86" i="1"/>
  <c r="BY87" i="1"/>
  <c r="BY88" i="1"/>
  <c r="BY89" i="1"/>
  <c r="BZ89" i="1" s="1"/>
  <c r="BY90" i="1"/>
  <c r="BY91" i="1"/>
  <c r="BY92" i="1"/>
  <c r="BY93" i="1"/>
  <c r="BZ93" i="1" s="1"/>
  <c r="BY94" i="1"/>
  <c r="BY95" i="1"/>
  <c r="BY96" i="1"/>
  <c r="BY97" i="1"/>
  <c r="BZ97" i="1" s="1"/>
  <c r="BY98" i="1"/>
  <c r="BY99" i="1"/>
  <c r="BY100" i="1"/>
  <c r="BY101" i="1"/>
  <c r="BY102" i="1"/>
  <c r="BY103" i="1"/>
  <c r="BY104" i="1"/>
  <c r="BY105" i="1"/>
  <c r="BY106" i="1"/>
  <c r="BZ3" i="1"/>
  <c r="BZ4" i="1"/>
  <c r="BZ6" i="1"/>
  <c r="BZ7" i="1"/>
  <c r="BZ8" i="1"/>
  <c r="BZ10" i="1"/>
  <c r="BZ11" i="1"/>
  <c r="BZ12" i="1"/>
  <c r="BZ14" i="1"/>
  <c r="BZ15" i="1"/>
  <c r="BZ16" i="1"/>
  <c r="BZ18" i="1"/>
  <c r="BZ19" i="1"/>
  <c r="BZ20" i="1"/>
  <c r="BZ22" i="1"/>
  <c r="BZ23" i="1"/>
  <c r="BZ24" i="1"/>
  <c r="BZ26" i="1"/>
  <c r="BZ27" i="1"/>
  <c r="BZ28" i="1"/>
  <c r="BZ30" i="1"/>
  <c r="BZ31" i="1"/>
  <c r="BZ32" i="1"/>
  <c r="BZ34" i="1"/>
  <c r="BZ35" i="1"/>
  <c r="BZ36" i="1"/>
  <c r="BZ38" i="1"/>
  <c r="BZ39" i="1"/>
  <c r="BZ40" i="1"/>
  <c r="BZ42" i="1"/>
  <c r="BZ43" i="1"/>
  <c r="BZ44" i="1"/>
  <c r="BZ46" i="1"/>
  <c r="BZ47" i="1"/>
  <c r="BZ48" i="1"/>
  <c r="BZ50" i="1"/>
  <c r="BZ51" i="1"/>
  <c r="BZ52" i="1"/>
  <c r="BZ54" i="1"/>
  <c r="BZ55" i="1"/>
  <c r="BZ56" i="1"/>
  <c r="BZ58" i="1"/>
  <c r="BZ59" i="1"/>
  <c r="BZ60" i="1"/>
  <c r="BZ62" i="1"/>
  <c r="BZ63" i="1"/>
  <c r="BZ64" i="1"/>
  <c r="BZ66" i="1"/>
  <c r="BZ67" i="1"/>
  <c r="BZ68" i="1"/>
  <c r="BZ70" i="1"/>
  <c r="BZ71" i="1"/>
  <c r="BZ72" i="1"/>
  <c r="BZ74" i="1"/>
  <c r="BZ75" i="1"/>
  <c r="BZ76" i="1"/>
  <c r="BZ78" i="1"/>
  <c r="BZ79" i="1"/>
  <c r="BZ80" i="1"/>
  <c r="BZ82" i="1"/>
  <c r="BZ83" i="1"/>
  <c r="BZ84" i="1"/>
  <c r="BZ86" i="1"/>
  <c r="BZ87" i="1"/>
  <c r="BZ88" i="1"/>
  <c r="BZ90" i="1"/>
  <c r="BZ91" i="1"/>
  <c r="BZ92" i="1"/>
  <c r="BZ94" i="1"/>
  <c r="BZ95" i="1"/>
  <c r="BZ96" i="1"/>
  <c r="BZ98" i="1"/>
  <c r="BZ99" i="1"/>
  <c r="BZ100" i="1"/>
  <c r="BZ101" i="1"/>
  <c r="BZ102" i="1"/>
  <c r="BZ103" i="1"/>
  <c r="BZ104" i="1"/>
  <c r="BZ105" i="1"/>
  <c r="BZ106" i="1"/>
  <c r="CA108" i="1"/>
  <c r="CD108" i="1"/>
  <c r="CE108" i="1"/>
  <c r="CF108" i="1"/>
  <c r="CH3" i="1"/>
  <c r="CH4" i="1"/>
  <c r="CH5" i="1"/>
  <c r="CH6" i="1"/>
  <c r="CH7" i="1"/>
  <c r="CH8" i="1"/>
  <c r="CH9" i="1"/>
  <c r="CH10" i="1"/>
  <c r="CH11" i="1"/>
  <c r="CH12" i="1"/>
  <c r="CH13" i="1"/>
  <c r="CH14" i="1"/>
  <c r="CH15" i="1"/>
  <c r="CH16" i="1"/>
  <c r="CH17" i="1"/>
  <c r="CH18" i="1"/>
  <c r="CH19" i="1"/>
  <c r="CH20" i="1"/>
  <c r="CH21" i="1"/>
  <c r="CH22" i="1"/>
  <c r="CH23" i="1"/>
  <c r="CH24" i="1"/>
  <c r="CH25" i="1"/>
  <c r="CH26" i="1"/>
  <c r="CH27" i="1"/>
  <c r="CH28" i="1"/>
  <c r="CH29" i="1"/>
  <c r="CH30" i="1"/>
  <c r="CH31" i="1"/>
  <c r="CH32" i="1"/>
  <c r="CH33" i="1"/>
  <c r="CH34" i="1"/>
  <c r="CH35" i="1"/>
  <c r="CH36" i="1"/>
  <c r="CH37" i="1"/>
  <c r="CH38" i="1"/>
  <c r="CH39" i="1"/>
  <c r="CH40" i="1"/>
  <c r="CH41" i="1"/>
  <c r="CH42" i="1"/>
  <c r="CH43" i="1"/>
  <c r="CH44" i="1"/>
  <c r="CH45" i="1"/>
  <c r="CH46" i="1"/>
  <c r="CH47" i="1"/>
  <c r="CH48" i="1"/>
  <c r="CH49" i="1"/>
  <c r="CH50" i="1"/>
  <c r="CH51" i="1"/>
  <c r="CH52" i="1"/>
  <c r="CH53" i="1"/>
  <c r="CH54" i="1"/>
  <c r="CH55" i="1"/>
  <c r="CH56" i="1"/>
  <c r="CH57" i="1"/>
  <c r="CH58" i="1"/>
  <c r="CH59" i="1"/>
  <c r="CH60" i="1"/>
  <c r="CH61" i="1"/>
  <c r="CH62" i="1"/>
  <c r="CH63" i="1"/>
  <c r="CH64" i="1"/>
  <c r="CH65" i="1"/>
  <c r="CH66" i="1"/>
  <c r="CH67" i="1"/>
  <c r="CH68" i="1"/>
  <c r="CH69" i="1"/>
  <c r="CH70" i="1"/>
  <c r="CH71" i="1"/>
  <c r="CH72" i="1"/>
  <c r="CH73" i="1"/>
  <c r="CH74" i="1"/>
  <c r="CH75" i="1"/>
  <c r="CH76" i="1"/>
  <c r="CH77" i="1"/>
  <c r="CH78" i="1"/>
  <c r="CH79" i="1"/>
  <c r="CH80" i="1"/>
  <c r="CH81" i="1"/>
  <c r="CH82" i="1"/>
  <c r="CH83" i="1"/>
  <c r="CH84" i="1"/>
  <c r="CH85" i="1"/>
  <c r="CH86" i="1"/>
  <c r="CH87" i="1"/>
  <c r="CH88" i="1"/>
  <c r="CH89" i="1"/>
  <c r="CH90" i="1"/>
  <c r="CH91" i="1"/>
  <c r="CH92" i="1"/>
  <c r="CH93" i="1"/>
  <c r="CH94" i="1"/>
  <c r="CH95" i="1"/>
  <c r="CH96" i="1"/>
  <c r="CH97" i="1"/>
  <c r="CH98" i="1"/>
  <c r="CH99" i="1"/>
  <c r="CH100" i="1"/>
  <c r="CH101" i="1"/>
  <c r="CH102" i="1"/>
  <c r="CH103" i="1"/>
  <c r="CH104" i="1"/>
  <c r="CH105" i="1"/>
  <c r="CH108" i="1"/>
  <c r="CI108" i="1"/>
  <c r="CJ108" i="1"/>
  <c r="CK3" i="1"/>
  <c r="CK4" i="1"/>
  <c r="CK5" i="1"/>
  <c r="CK6" i="1"/>
  <c r="CK7" i="1"/>
  <c r="CK8" i="1"/>
  <c r="CK9" i="1"/>
  <c r="CK10" i="1"/>
  <c r="CK11" i="1"/>
  <c r="CK12" i="1"/>
  <c r="CK13" i="1"/>
  <c r="CK14" i="1"/>
  <c r="CK15" i="1"/>
  <c r="CK16" i="1"/>
  <c r="CK17" i="1"/>
  <c r="CK18" i="1"/>
  <c r="CK19" i="1"/>
  <c r="CK20" i="1"/>
  <c r="CK21" i="1"/>
  <c r="CK22" i="1"/>
  <c r="CK23" i="1"/>
  <c r="CK24" i="1"/>
  <c r="CK25" i="1"/>
  <c r="CK26" i="1"/>
  <c r="CK27" i="1"/>
  <c r="CK28" i="1"/>
  <c r="CK29" i="1"/>
  <c r="CK30" i="1"/>
  <c r="CK31" i="1"/>
  <c r="CK32" i="1"/>
  <c r="CK33" i="1"/>
  <c r="CK34" i="1"/>
  <c r="CK35" i="1"/>
  <c r="CK36" i="1"/>
  <c r="CK37" i="1"/>
  <c r="CK38" i="1"/>
  <c r="CK39" i="1"/>
  <c r="CK40" i="1"/>
  <c r="CK41" i="1"/>
  <c r="CK42" i="1"/>
  <c r="CK43" i="1"/>
  <c r="CK44" i="1"/>
  <c r="CK45" i="1"/>
  <c r="CK46" i="1"/>
  <c r="CK47" i="1"/>
  <c r="CK48" i="1"/>
  <c r="CK49" i="1"/>
  <c r="CK50" i="1"/>
  <c r="CK51" i="1"/>
  <c r="CK52" i="1"/>
  <c r="CK53" i="1"/>
  <c r="CK54" i="1"/>
  <c r="CK55" i="1"/>
  <c r="CK56" i="1"/>
  <c r="CK57" i="1"/>
  <c r="CK58" i="1"/>
  <c r="CK59" i="1"/>
  <c r="CK60" i="1"/>
  <c r="CK61" i="1"/>
  <c r="CK62" i="1"/>
  <c r="CK63" i="1"/>
  <c r="CK64" i="1"/>
  <c r="CK65" i="1"/>
  <c r="CK66" i="1"/>
  <c r="CK67" i="1"/>
  <c r="CK68" i="1"/>
  <c r="CK69" i="1"/>
  <c r="CK70" i="1"/>
  <c r="CK71" i="1"/>
  <c r="CK72" i="1"/>
  <c r="CK73" i="1"/>
  <c r="CK74" i="1"/>
  <c r="CK75" i="1"/>
  <c r="CK76" i="1"/>
  <c r="CK77" i="1"/>
  <c r="CK78" i="1"/>
  <c r="CK79" i="1"/>
  <c r="CK80" i="1"/>
  <c r="CK81" i="1"/>
  <c r="CK82" i="1"/>
  <c r="CK83" i="1"/>
  <c r="CK84" i="1"/>
  <c r="CK85" i="1"/>
  <c r="CK86" i="1"/>
  <c r="CK87" i="1"/>
  <c r="CK88" i="1"/>
  <c r="CK89" i="1"/>
  <c r="CK90" i="1"/>
  <c r="CK91" i="1"/>
  <c r="CK92" i="1"/>
  <c r="CK93" i="1"/>
  <c r="CK94" i="1"/>
  <c r="CK95" i="1"/>
  <c r="CK96" i="1"/>
  <c r="CK97" i="1"/>
  <c r="CK98" i="1"/>
  <c r="CK99" i="1"/>
  <c r="CK100" i="1"/>
  <c r="CK101" i="1"/>
  <c r="CK102" i="1"/>
  <c r="CK103" i="1"/>
  <c r="CK104" i="1"/>
  <c r="CK105" i="1"/>
  <c r="CL3" i="1"/>
  <c r="CL4" i="1"/>
  <c r="CL5" i="1"/>
  <c r="CL6" i="1"/>
  <c r="CL7" i="1"/>
  <c r="CL8" i="1"/>
  <c r="CL9" i="1"/>
  <c r="CL10" i="1"/>
  <c r="CL11" i="1"/>
  <c r="CL12" i="1"/>
  <c r="CL13" i="1"/>
  <c r="CL14" i="1"/>
  <c r="CL15" i="1"/>
  <c r="CL16" i="1"/>
  <c r="CL17" i="1"/>
  <c r="CL18" i="1"/>
  <c r="CL19" i="1"/>
  <c r="CL20" i="1"/>
  <c r="CL21" i="1"/>
  <c r="CL22" i="1"/>
  <c r="CL23" i="1"/>
  <c r="CL24" i="1"/>
  <c r="CL25" i="1"/>
  <c r="CL26" i="1"/>
  <c r="CL27" i="1"/>
  <c r="CL28" i="1"/>
  <c r="CL29" i="1"/>
  <c r="CL30" i="1"/>
  <c r="CL31" i="1"/>
  <c r="CL32" i="1"/>
  <c r="CL33" i="1"/>
  <c r="CL34" i="1"/>
  <c r="CL35" i="1"/>
  <c r="CL36" i="1"/>
  <c r="CL37" i="1"/>
  <c r="CL38" i="1"/>
  <c r="CL39" i="1"/>
  <c r="CL40" i="1"/>
  <c r="CL41" i="1"/>
  <c r="CL42" i="1"/>
  <c r="CL43" i="1"/>
  <c r="CL44" i="1"/>
  <c r="CL45" i="1"/>
  <c r="CL46" i="1"/>
  <c r="CL47" i="1"/>
  <c r="CL48" i="1"/>
  <c r="CL49" i="1"/>
  <c r="CL50" i="1"/>
  <c r="CL51" i="1"/>
  <c r="CL52" i="1"/>
  <c r="CL53" i="1"/>
  <c r="CL54" i="1"/>
  <c r="CL55" i="1"/>
  <c r="CL56" i="1"/>
  <c r="CL57" i="1"/>
  <c r="CL58" i="1"/>
  <c r="CL59" i="1"/>
  <c r="CL60" i="1"/>
  <c r="CL61" i="1"/>
  <c r="CL62" i="1"/>
  <c r="CL63" i="1"/>
  <c r="CL64" i="1"/>
  <c r="CL65" i="1"/>
  <c r="CL66" i="1"/>
  <c r="CL67" i="1"/>
  <c r="CL68" i="1"/>
  <c r="CL69" i="1"/>
  <c r="CL70" i="1"/>
  <c r="CL71" i="1"/>
  <c r="CL72" i="1"/>
  <c r="CL73" i="1"/>
  <c r="CL74" i="1"/>
  <c r="CL75" i="1"/>
  <c r="CL76" i="1"/>
  <c r="CL77" i="1"/>
  <c r="CL78" i="1"/>
  <c r="CL79" i="1"/>
  <c r="CL80" i="1"/>
  <c r="CL81" i="1"/>
  <c r="CL82" i="1"/>
  <c r="CL83" i="1"/>
  <c r="CL84" i="1"/>
  <c r="CL85" i="1"/>
  <c r="CL86" i="1"/>
  <c r="CL87" i="1"/>
  <c r="CL88" i="1"/>
  <c r="CL89" i="1"/>
  <c r="CL90" i="1"/>
  <c r="CL91" i="1"/>
  <c r="CL92" i="1"/>
  <c r="CL93" i="1"/>
  <c r="CL94" i="1"/>
  <c r="CL95" i="1"/>
  <c r="CL96" i="1"/>
  <c r="CL97" i="1"/>
  <c r="CL98" i="1"/>
  <c r="CL99" i="1"/>
  <c r="CL100" i="1"/>
  <c r="CL101" i="1"/>
  <c r="CL102" i="1"/>
  <c r="CL103" i="1"/>
  <c r="CL104" i="1"/>
  <c r="CL105" i="1"/>
  <c r="CM3" i="1"/>
  <c r="CM4" i="1"/>
  <c r="CM5" i="1"/>
  <c r="CM6" i="1"/>
  <c r="CM7" i="1"/>
  <c r="CM8" i="1"/>
  <c r="CM9" i="1"/>
  <c r="CM10" i="1"/>
  <c r="CM11" i="1"/>
  <c r="CM12" i="1"/>
  <c r="CM13" i="1"/>
  <c r="CM14" i="1"/>
  <c r="CM15" i="1"/>
  <c r="CM16" i="1"/>
  <c r="CM17" i="1"/>
  <c r="CM18" i="1"/>
  <c r="CM19" i="1"/>
  <c r="CM20" i="1"/>
  <c r="CM21" i="1"/>
  <c r="CM22" i="1"/>
  <c r="CM23" i="1"/>
  <c r="CM24" i="1"/>
  <c r="CM25" i="1"/>
  <c r="CM26" i="1"/>
  <c r="CM27" i="1"/>
  <c r="CM28" i="1"/>
  <c r="CM108" i="1" s="1"/>
  <c r="CM29" i="1"/>
  <c r="CM30" i="1"/>
  <c r="CM31" i="1"/>
  <c r="CM32" i="1"/>
  <c r="CM33" i="1"/>
  <c r="CM34" i="1"/>
  <c r="CM35" i="1"/>
  <c r="CM36" i="1"/>
  <c r="CM37" i="1"/>
  <c r="CM38" i="1"/>
  <c r="CM39" i="1"/>
  <c r="CM40" i="1"/>
  <c r="CM41" i="1"/>
  <c r="CM42" i="1"/>
  <c r="CM43" i="1"/>
  <c r="CM44" i="1"/>
  <c r="CM45" i="1"/>
  <c r="CM46" i="1"/>
  <c r="CM47" i="1"/>
  <c r="CM48" i="1"/>
  <c r="CM49" i="1"/>
  <c r="CM50" i="1"/>
  <c r="CM51" i="1"/>
  <c r="CM52" i="1"/>
  <c r="CM53" i="1"/>
  <c r="CM54" i="1"/>
  <c r="CM55" i="1"/>
  <c r="CM56" i="1"/>
  <c r="CM57" i="1"/>
  <c r="CM58" i="1"/>
  <c r="CM59" i="1"/>
  <c r="CM60" i="1"/>
  <c r="CM61" i="1"/>
  <c r="CM62" i="1"/>
  <c r="CM63" i="1"/>
  <c r="CM64" i="1"/>
  <c r="CM65" i="1"/>
  <c r="CM66" i="1"/>
  <c r="CM67" i="1"/>
  <c r="CM68" i="1"/>
  <c r="CM69" i="1"/>
  <c r="CM70" i="1"/>
  <c r="CM71" i="1"/>
  <c r="CM72" i="1"/>
  <c r="CM73" i="1"/>
  <c r="CM74" i="1"/>
  <c r="CM75" i="1"/>
  <c r="CM76" i="1"/>
  <c r="CM77" i="1"/>
  <c r="CM78" i="1"/>
  <c r="CM79" i="1"/>
  <c r="CM80" i="1"/>
  <c r="CM81" i="1"/>
  <c r="CM82" i="1"/>
  <c r="CM83" i="1"/>
  <c r="CM84" i="1"/>
  <c r="CM85" i="1"/>
  <c r="CM86" i="1"/>
  <c r="CM87" i="1"/>
  <c r="CM88" i="1"/>
  <c r="CM89" i="1"/>
  <c r="CM90" i="1"/>
  <c r="CM91" i="1"/>
  <c r="CM92" i="1"/>
  <c r="CM93" i="1"/>
  <c r="CM94" i="1"/>
  <c r="CM95" i="1"/>
  <c r="CM96" i="1"/>
  <c r="CM97" i="1"/>
  <c r="CM98" i="1"/>
  <c r="CM99" i="1"/>
  <c r="CM100" i="1"/>
  <c r="CM101" i="1"/>
  <c r="CM102" i="1"/>
  <c r="CM103" i="1"/>
  <c r="CM104" i="1"/>
  <c r="CM105" i="1"/>
  <c r="CN108" i="1"/>
  <c r="CP108" i="1"/>
  <c r="CQ108" i="1"/>
  <c r="CR108" i="1"/>
  <c r="CS108" i="1"/>
  <c r="CT3" i="1"/>
  <c r="CT4" i="1"/>
  <c r="CT5" i="1"/>
  <c r="CT6" i="1"/>
  <c r="CT7" i="1"/>
  <c r="CT8" i="1"/>
  <c r="CT9" i="1"/>
  <c r="CT10" i="1"/>
  <c r="CT11" i="1"/>
  <c r="CT12" i="1"/>
  <c r="CT13" i="1"/>
  <c r="CT14" i="1"/>
  <c r="CT15" i="1"/>
  <c r="CT16" i="1"/>
  <c r="CT17" i="1"/>
  <c r="CT18" i="1"/>
  <c r="CT19" i="1"/>
  <c r="CT20" i="1"/>
  <c r="CT21" i="1"/>
  <c r="CT22" i="1"/>
  <c r="CT23" i="1"/>
  <c r="CT24" i="1"/>
  <c r="CT25" i="1"/>
  <c r="CT26" i="1"/>
  <c r="CT27" i="1"/>
  <c r="CT28" i="1"/>
  <c r="CT29" i="1"/>
  <c r="CT30" i="1"/>
  <c r="CT31" i="1"/>
  <c r="CT32" i="1"/>
  <c r="CT33" i="1"/>
  <c r="CT34" i="1"/>
  <c r="CT35" i="1"/>
  <c r="CT36" i="1"/>
  <c r="CT37" i="1"/>
  <c r="CT38" i="1"/>
  <c r="CT39" i="1"/>
  <c r="CT40" i="1"/>
  <c r="CT41" i="1"/>
  <c r="CT42" i="1"/>
  <c r="CT43" i="1"/>
  <c r="CT44" i="1"/>
  <c r="CT45" i="1"/>
  <c r="CT46" i="1"/>
  <c r="CT47" i="1"/>
  <c r="CT48" i="1"/>
  <c r="CT49" i="1"/>
  <c r="CT50" i="1"/>
  <c r="CT51" i="1"/>
  <c r="CT52" i="1"/>
  <c r="CT53" i="1"/>
  <c r="CT54" i="1"/>
  <c r="CT55" i="1"/>
  <c r="CT56" i="1"/>
  <c r="CT57" i="1"/>
  <c r="CT58" i="1"/>
  <c r="CT59" i="1"/>
  <c r="CT60" i="1"/>
  <c r="CT61" i="1"/>
  <c r="CT62" i="1"/>
  <c r="CT63" i="1"/>
  <c r="CT64" i="1"/>
  <c r="CT65" i="1"/>
  <c r="CT66" i="1"/>
  <c r="CT67" i="1"/>
  <c r="CT68" i="1"/>
  <c r="CT69" i="1"/>
  <c r="CT70" i="1"/>
  <c r="CT71" i="1"/>
  <c r="CT72" i="1"/>
  <c r="CT73" i="1"/>
  <c r="CT74" i="1"/>
  <c r="CT75" i="1"/>
  <c r="CT76" i="1"/>
  <c r="CT77" i="1"/>
  <c r="CT78" i="1"/>
  <c r="CT79" i="1"/>
  <c r="CT80" i="1"/>
  <c r="CT81" i="1"/>
  <c r="CT82" i="1"/>
  <c r="CT83" i="1"/>
  <c r="CT84" i="1"/>
  <c r="CT85" i="1"/>
  <c r="CT86" i="1"/>
  <c r="CT87" i="1"/>
  <c r="CT88" i="1"/>
  <c r="CT89" i="1"/>
  <c r="CT90" i="1"/>
  <c r="CT91" i="1"/>
  <c r="CT92" i="1"/>
  <c r="CT93" i="1"/>
  <c r="CT94" i="1"/>
  <c r="CT95" i="1"/>
  <c r="CT96" i="1"/>
  <c r="CT97" i="1"/>
  <c r="CT98" i="1"/>
  <c r="CT99" i="1"/>
  <c r="CT100" i="1"/>
  <c r="CT101" i="1"/>
  <c r="CT102" i="1"/>
  <c r="CT103" i="1"/>
  <c r="CT104" i="1"/>
  <c r="CT105" i="1"/>
  <c r="CT106" i="1"/>
  <c r="CT108" i="1"/>
  <c r="CU3" i="1"/>
  <c r="CU4" i="1"/>
  <c r="CU5" i="1"/>
  <c r="CU6" i="1"/>
  <c r="CU7" i="1"/>
  <c r="CU8" i="1"/>
  <c r="CU9" i="1"/>
  <c r="CU10" i="1"/>
  <c r="CU11" i="1"/>
  <c r="CU12" i="1"/>
  <c r="CU13" i="1"/>
  <c r="CU14" i="1"/>
  <c r="CU15" i="1"/>
  <c r="CU16" i="1"/>
  <c r="CU17" i="1"/>
  <c r="CU18" i="1"/>
  <c r="CU19" i="1"/>
  <c r="CU20" i="1"/>
  <c r="CU21" i="1"/>
  <c r="CU22" i="1"/>
  <c r="CU23" i="1"/>
  <c r="CU24" i="1"/>
  <c r="CU25" i="1"/>
  <c r="CU26" i="1"/>
  <c r="CU27" i="1"/>
  <c r="CU28" i="1"/>
  <c r="CU29" i="1"/>
  <c r="CU30" i="1"/>
  <c r="CU31" i="1"/>
  <c r="CU32" i="1"/>
  <c r="CU33" i="1"/>
  <c r="CU34" i="1"/>
  <c r="CU35" i="1"/>
  <c r="CU36" i="1"/>
  <c r="CU37" i="1"/>
  <c r="CU38" i="1"/>
  <c r="CU39" i="1"/>
  <c r="CU40" i="1"/>
  <c r="CU41" i="1"/>
  <c r="CU42" i="1"/>
  <c r="CU43" i="1"/>
  <c r="CU44" i="1"/>
  <c r="CU45" i="1"/>
  <c r="CU46" i="1"/>
  <c r="CU47" i="1"/>
  <c r="CU48" i="1"/>
  <c r="CU49" i="1"/>
  <c r="CU50" i="1"/>
  <c r="CU51" i="1"/>
  <c r="CU52" i="1"/>
  <c r="CU53" i="1"/>
  <c r="CU54" i="1"/>
  <c r="CU55" i="1"/>
  <c r="CU56" i="1"/>
  <c r="CU57" i="1"/>
  <c r="CU58" i="1"/>
  <c r="CU59" i="1"/>
  <c r="CU60" i="1"/>
  <c r="CU61" i="1"/>
  <c r="CU62" i="1"/>
  <c r="CU63" i="1"/>
  <c r="CU64" i="1"/>
  <c r="CU65" i="1"/>
  <c r="CU66" i="1"/>
  <c r="CU67" i="1"/>
  <c r="CU68" i="1"/>
  <c r="CU69" i="1"/>
  <c r="CU70" i="1"/>
  <c r="CU71" i="1"/>
  <c r="CU72" i="1"/>
  <c r="CU73" i="1"/>
  <c r="CU74" i="1"/>
  <c r="CU75" i="1"/>
  <c r="CU76" i="1"/>
  <c r="CU77" i="1"/>
  <c r="CU78" i="1"/>
  <c r="CU79" i="1"/>
  <c r="CU80" i="1"/>
  <c r="CU81" i="1"/>
  <c r="CU82" i="1"/>
  <c r="CU83" i="1"/>
  <c r="CU84" i="1"/>
  <c r="CU85" i="1"/>
  <c r="CU86" i="1"/>
  <c r="CU87" i="1"/>
  <c r="CU88" i="1"/>
  <c r="CU89" i="1"/>
  <c r="CU90" i="1"/>
  <c r="CU91" i="1"/>
  <c r="CU92" i="1"/>
  <c r="CU93" i="1"/>
  <c r="CU94" i="1"/>
  <c r="CU95" i="1"/>
  <c r="CU96" i="1"/>
  <c r="CU97" i="1"/>
  <c r="CU98" i="1"/>
  <c r="CU99" i="1"/>
  <c r="CU100" i="1"/>
  <c r="CU101" i="1"/>
  <c r="CU102" i="1"/>
  <c r="CU103" i="1"/>
  <c r="CU104" i="1"/>
  <c r="CU105" i="1"/>
  <c r="CU106" i="1"/>
  <c r="CU108" i="1"/>
  <c r="CV3" i="1"/>
  <c r="CV4" i="1"/>
  <c r="CV5" i="1"/>
  <c r="CV6" i="1"/>
  <c r="CV7" i="1"/>
  <c r="CV8" i="1"/>
  <c r="CV9" i="1"/>
  <c r="CV10" i="1"/>
  <c r="CV11" i="1"/>
  <c r="CV12" i="1"/>
  <c r="CV13" i="1"/>
  <c r="CV14" i="1"/>
  <c r="CV15" i="1"/>
  <c r="CV16" i="1"/>
  <c r="CV17" i="1"/>
  <c r="CV18" i="1"/>
  <c r="CV19" i="1"/>
  <c r="CV20" i="1"/>
  <c r="CV21" i="1"/>
  <c r="CV22" i="1"/>
  <c r="CV108" i="1" s="1"/>
  <c r="CV23" i="1"/>
  <c r="CV24" i="1"/>
  <c r="CV25" i="1"/>
  <c r="CV26" i="1"/>
  <c r="CV27" i="1"/>
  <c r="CV28" i="1"/>
  <c r="CV29" i="1"/>
  <c r="CV30" i="1"/>
  <c r="CV31" i="1"/>
  <c r="CV32" i="1"/>
  <c r="CV33" i="1"/>
  <c r="CV34" i="1"/>
  <c r="CV35" i="1"/>
  <c r="CV36" i="1"/>
  <c r="CV37" i="1"/>
  <c r="CV38" i="1"/>
  <c r="CV39" i="1"/>
  <c r="CV40" i="1"/>
  <c r="CV41" i="1"/>
  <c r="CV42" i="1"/>
  <c r="CV43" i="1"/>
  <c r="CV44" i="1"/>
  <c r="CV45" i="1"/>
  <c r="CV46" i="1"/>
  <c r="CV47" i="1"/>
  <c r="CV48" i="1"/>
  <c r="CV49" i="1"/>
  <c r="CV50" i="1"/>
  <c r="CV51" i="1"/>
  <c r="CV52" i="1"/>
  <c r="CV53" i="1"/>
  <c r="CV54" i="1"/>
  <c r="CV55" i="1"/>
  <c r="CV56" i="1"/>
  <c r="CV57" i="1"/>
  <c r="CV58" i="1"/>
  <c r="CV59" i="1"/>
  <c r="CV60" i="1"/>
  <c r="CV61" i="1"/>
  <c r="CV62" i="1"/>
  <c r="CV63" i="1"/>
  <c r="CV64" i="1"/>
  <c r="CV65" i="1"/>
  <c r="CV66" i="1"/>
  <c r="CV67" i="1"/>
  <c r="CV68" i="1"/>
  <c r="CV69" i="1"/>
  <c r="CV70" i="1"/>
  <c r="CV71" i="1"/>
  <c r="CV72" i="1"/>
  <c r="CV73" i="1"/>
  <c r="CV74" i="1"/>
  <c r="CV75" i="1"/>
  <c r="CV76" i="1"/>
  <c r="CV77" i="1"/>
  <c r="CV78" i="1"/>
  <c r="CV79" i="1"/>
  <c r="CV80" i="1"/>
  <c r="CV81" i="1"/>
  <c r="CV82" i="1"/>
  <c r="CV83" i="1"/>
  <c r="CV84" i="1"/>
  <c r="CV85" i="1"/>
  <c r="CV86" i="1"/>
  <c r="CV87" i="1"/>
  <c r="CV88" i="1"/>
  <c r="CV89" i="1"/>
  <c r="CV90" i="1"/>
  <c r="CV91" i="1"/>
  <c r="CV92" i="1"/>
  <c r="CV93" i="1"/>
  <c r="CV94" i="1"/>
  <c r="CV95" i="1"/>
  <c r="CV96" i="1"/>
  <c r="CV97" i="1"/>
  <c r="CV98" i="1"/>
  <c r="CV99" i="1"/>
  <c r="CV100" i="1"/>
  <c r="CV101" i="1"/>
  <c r="CV102" i="1"/>
  <c r="CV103" i="1"/>
  <c r="CV104" i="1"/>
  <c r="CV105" i="1"/>
  <c r="CV106" i="1"/>
  <c r="CW108" i="1"/>
  <c r="CZ108" i="1"/>
  <c r="DA108" i="1"/>
  <c r="DB108" i="1"/>
  <c r="DD3" i="1"/>
  <c r="DD4" i="1"/>
  <c r="DD5" i="1"/>
  <c r="DD108" i="1" s="1"/>
  <c r="DD6" i="1"/>
  <c r="DD7" i="1"/>
  <c r="DD8" i="1"/>
  <c r="DD9" i="1"/>
  <c r="DD10" i="1"/>
  <c r="DD11" i="1"/>
  <c r="DD12" i="1"/>
  <c r="DD13" i="1"/>
  <c r="DD14" i="1"/>
  <c r="DD15" i="1"/>
  <c r="DD16" i="1"/>
  <c r="DD17" i="1"/>
  <c r="DD18" i="1"/>
  <c r="DD19" i="1"/>
  <c r="DD20" i="1"/>
  <c r="DD21" i="1"/>
  <c r="DD22" i="1"/>
  <c r="DD23" i="1"/>
  <c r="DD24" i="1"/>
  <c r="DD25" i="1"/>
  <c r="DD26" i="1"/>
  <c r="DD27" i="1"/>
  <c r="DD28" i="1"/>
  <c r="DD29" i="1"/>
  <c r="DD30" i="1"/>
  <c r="DD31" i="1"/>
  <c r="DD32" i="1"/>
  <c r="DD33" i="1"/>
  <c r="DD34" i="1"/>
  <c r="DD35" i="1"/>
  <c r="DD36" i="1"/>
  <c r="DD37" i="1"/>
  <c r="DD38" i="1"/>
  <c r="DD39" i="1"/>
  <c r="DD40" i="1"/>
  <c r="DD41" i="1"/>
  <c r="DD42" i="1"/>
  <c r="DD43" i="1"/>
  <c r="DD44" i="1"/>
  <c r="DD45" i="1"/>
  <c r="DD46" i="1"/>
  <c r="DD47" i="1"/>
  <c r="DD48" i="1"/>
  <c r="DD49" i="1"/>
  <c r="DD50" i="1"/>
  <c r="DD51" i="1"/>
  <c r="DD52" i="1"/>
  <c r="DD53" i="1"/>
  <c r="DD54" i="1"/>
  <c r="DD55" i="1"/>
  <c r="DD56" i="1"/>
  <c r="DD57" i="1"/>
  <c r="DD58" i="1"/>
  <c r="DD59" i="1"/>
  <c r="DD60" i="1"/>
  <c r="DD61" i="1"/>
  <c r="DD62" i="1"/>
  <c r="DD63" i="1"/>
  <c r="DD64" i="1"/>
  <c r="DD65" i="1"/>
  <c r="DD66" i="1"/>
  <c r="DD67" i="1"/>
  <c r="DD68" i="1"/>
  <c r="DD69" i="1"/>
  <c r="DD70" i="1"/>
  <c r="DD71" i="1"/>
  <c r="DD72" i="1"/>
  <c r="DD73" i="1"/>
  <c r="DD74" i="1"/>
  <c r="DD75" i="1"/>
  <c r="DD76" i="1"/>
  <c r="DD77" i="1"/>
  <c r="DD78" i="1"/>
  <c r="DD79" i="1"/>
  <c r="DD80" i="1"/>
  <c r="DD81" i="1"/>
  <c r="DD82" i="1"/>
  <c r="DD83" i="1"/>
  <c r="DD84" i="1"/>
  <c r="DD85" i="1"/>
  <c r="DD86" i="1"/>
  <c r="DD87" i="1"/>
  <c r="DD88" i="1"/>
  <c r="DD89" i="1"/>
  <c r="DD90" i="1"/>
  <c r="DD91" i="1"/>
  <c r="DD92" i="1"/>
  <c r="DD93" i="1"/>
  <c r="DD94" i="1"/>
  <c r="DD95" i="1"/>
  <c r="DD96" i="1"/>
  <c r="DD97" i="1"/>
  <c r="DD98" i="1"/>
  <c r="DD99" i="1"/>
  <c r="DD100" i="1"/>
  <c r="DD101" i="1"/>
  <c r="DD102" i="1"/>
  <c r="DD103" i="1"/>
  <c r="DD104" i="1"/>
  <c r="DD105" i="1"/>
  <c r="DD106" i="1"/>
  <c r="DE108" i="1"/>
  <c r="DF108" i="1"/>
  <c r="DG3" i="1"/>
  <c r="DG4" i="1"/>
  <c r="DG5" i="1"/>
  <c r="DG6" i="1"/>
  <c r="DG7" i="1"/>
  <c r="DG8" i="1"/>
  <c r="DG9" i="1"/>
  <c r="DG10" i="1"/>
  <c r="DG11" i="1"/>
  <c r="DG12" i="1"/>
  <c r="DG13" i="1"/>
  <c r="DG14" i="1"/>
  <c r="DG15" i="1"/>
  <c r="DG16" i="1"/>
  <c r="DG17" i="1"/>
  <c r="DG18" i="1"/>
  <c r="DG19" i="1"/>
  <c r="DG20" i="1"/>
  <c r="DG21" i="1"/>
  <c r="DG22" i="1"/>
  <c r="DG23" i="1"/>
  <c r="DG24" i="1"/>
  <c r="DG25" i="1"/>
  <c r="DG26" i="1"/>
  <c r="DG27" i="1"/>
  <c r="DG28" i="1"/>
  <c r="DG29" i="1"/>
  <c r="DG30" i="1"/>
  <c r="DG31" i="1"/>
  <c r="DG32" i="1"/>
  <c r="DG33" i="1"/>
  <c r="DG34" i="1"/>
  <c r="DG35" i="1"/>
  <c r="DG36" i="1"/>
  <c r="DG37" i="1"/>
  <c r="DG38" i="1"/>
  <c r="DG39" i="1"/>
  <c r="DG40" i="1"/>
  <c r="DG41" i="1"/>
  <c r="DG42" i="1"/>
  <c r="DG43" i="1"/>
  <c r="DG44" i="1"/>
  <c r="DG45" i="1"/>
  <c r="DG46" i="1"/>
  <c r="DG47" i="1"/>
  <c r="DG48" i="1"/>
  <c r="DG49" i="1"/>
  <c r="DG50" i="1"/>
  <c r="DG52" i="1"/>
  <c r="DG53" i="1"/>
  <c r="DG54" i="1"/>
  <c r="DG55" i="1"/>
  <c r="DG56" i="1"/>
  <c r="DG57" i="1"/>
  <c r="DG58" i="1"/>
  <c r="DG59" i="1"/>
  <c r="DG60" i="1"/>
  <c r="DG61" i="1"/>
  <c r="DG62" i="1"/>
  <c r="DG63" i="1"/>
  <c r="DG64" i="1"/>
  <c r="DG65" i="1"/>
  <c r="DG66" i="1"/>
  <c r="DG67" i="1"/>
  <c r="DG68" i="1"/>
  <c r="DG69" i="1"/>
  <c r="DG70" i="1"/>
  <c r="DG71" i="1"/>
  <c r="DG72" i="1"/>
  <c r="DG73" i="1"/>
  <c r="DG74" i="1"/>
  <c r="DG75" i="1"/>
  <c r="DG76" i="1"/>
  <c r="DG77" i="1"/>
  <c r="DG78" i="1"/>
  <c r="DG80" i="1"/>
  <c r="DG81" i="1"/>
  <c r="DG82" i="1"/>
  <c r="DG83" i="1"/>
  <c r="DG84" i="1"/>
  <c r="DG85" i="1"/>
  <c r="DG86" i="1"/>
  <c r="DG87" i="1"/>
  <c r="DG88" i="1"/>
  <c r="DG89" i="1"/>
  <c r="DG90" i="1"/>
  <c r="DG91" i="1"/>
  <c r="DG92" i="1"/>
  <c r="DG93" i="1"/>
  <c r="DG94" i="1"/>
  <c r="DG95" i="1"/>
  <c r="DG96" i="1"/>
  <c r="DG97" i="1"/>
  <c r="DG98" i="1"/>
  <c r="DG99" i="1"/>
  <c r="DG100" i="1"/>
  <c r="DG101" i="1"/>
  <c r="DG102" i="1"/>
  <c r="DG103" i="1"/>
  <c r="DG104" i="1"/>
  <c r="DG105" i="1"/>
  <c r="DG106" i="1"/>
  <c r="DH3" i="1"/>
  <c r="DH4" i="1"/>
  <c r="DH5" i="1"/>
  <c r="DH6" i="1"/>
  <c r="DH7" i="1"/>
  <c r="DH8" i="1"/>
  <c r="DH9" i="1"/>
  <c r="DH10" i="1"/>
  <c r="DH11" i="1"/>
  <c r="DH12" i="1"/>
  <c r="DH13" i="1"/>
  <c r="DH14" i="1"/>
  <c r="DH15" i="1"/>
  <c r="DH16" i="1"/>
  <c r="DH17" i="1"/>
  <c r="DH18" i="1"/>
  <c r="DH19" i="1"/>
  <c r="DH20" i="1"/>
  <c r="DH21" i="1"/>
  <c r="DH22" i="1"/>
  <c r="DH23" i="1"/>
  <c r="DH24" i="1"/>
  <c r="DH25" i="1"/>
  <c r="DH26" i="1"/>
  <c r="DH27" i="1"/>
  <c r="DH28" i="1"/>
  <c r="DH29" i="1"/>
  <c r="DH30" i="1"/>
  <c r="DH31" i="1"/>
  <c r="DH32" i="1"/>
  <c r="DH33" i="1"/>
  <c r="DH34" i="1"/>
  <c r="DH35" i="1"/>
  <c r="DH36" i="1"/>
  <c r="DH37" i="1"/>
  <c r="DH38" i="1"/>
  <c r="DH39" i="1"/>
  <c r="DH41" i="1"/>
  <c r="DH43" i="1"/>
  <c r="DH44" i="1"/>
  <c r="DH45" i="1"/>
  <c r="DH46" i="1"/>
  <c r="DH47" i="1"/>
  <c r="DH48" i="1"/>
  <c r="DH49" i="1"/>
  <c r="DH50" i="1"/>
  <c r="DH52" i="1"/>
  <c r="DH53" i="1"/>
  <c r="DH54" i="1"/>
  <c r="DH55" i="1"/>
  <c r="DH56" i="1"/>
  <c r="DH57" i="1"/>
  <c r="DH58" i="1"/>
  <c r="DH59" i="1"/>
  <c r="DH60" i="1"/>
  <c r="DH61" i="1"/>
  <c r="DH62" i="1"/>
  <c r="DH63" i="1"/>
  <c r="DH64" i="1"/>
  <c r="DH65" i="1"/>
  <c r="DH66" i="1"/>
  <c r="DH67" i="1"/>
  <c r="DH68" i="1"/>
  <c r="DH69" i="1"/>
  <c r="DH70" i="1"/>
  <c r="DH71" i="1"/>
  <c r="DH72" i="1"/>
  <c r="DH73" i="1"/>
  <c r="DH74" i="1"/>
  <c r="DH75" i="1"/>
  <c r="DH76" i="1"/>
  <c r="DH77" i="1"/>
  <c r="DH78" i="1"/>
  <c r="DH80" i="1"/>
  <c r="DH81" i="1"/>
  <c r="DH82" i="1"/>
  <c r="DH83" i="1"/>
  <c r="DH84" i="1"/>
  <c r="DH85" i="1"/>
  <c r="DH86" i="1"/>
  <c r="DH87" i="1"/>
  <c r="DH88" i="1"/>
  <c r="DH89" i="1"/>
  <c r="DH90" i="1"/>
  <c r="DH91" i="1"/>
  <c r="DH92" i="1"/>
  <c r="DH93" i="1"/>
  <c r="DH94" i="1"/>
  <c r="DH95" i="1"/>
  <c r="DH96" i="1"/>
  <c r="DH97" i="1"/>
  <c r="DH98" i="1"/>
  <c r="DH99" i="1"/>
  <c r="DH100" i="1"/>
  <c r="DH101" i="1"/>
  <c r="DH102" i="1"/>
  <c r="DH103" i="1"/>
  <c r="DH104" i="1"/>
  <c r="DH105" i="1"/>
  <c r="DH106" i="1"/>
  <c r="DI3" i="1"/>
  <c r="DI4" i="1"/>
  <c r="DI5" i="1"/>
  <c r="DI6" i="1"/>
  <c r="DI7" i="1"/>
  <c r="DI8" i="1"/>
  <c r="DI9" i="1"/>
  <c r="DI10" i="1"/>
  <c r="DI11" i="1"/>
  <c r="DI12" i="1"/>
  <c r="DI13" i="1"/>
  <c r="DI14" i="1"/>
  <c r="DI15" i="1"/>
  <c r="DI16" i="1"/>
  <c r="DI17" i="1"/>
  <c r="DI18" i="1"/>
  <c r="DI19" i="1"/>
  <c r="DI20" i="1"/>
  <c r="DI21" i="1"/>
  <c r="DI22" i="1"/>
  <c r="DI23" i="1"/>
  <c r="DI24" i="1"/>
  <c r="DI25" i="1"/>
  <c r="DI26" i="1"/>
  <c r="DI27" i="1"/>
  <c r="DI28" i="1"/>
  <c r="DI29" i="1"/>
  <c r="DI30" i="1"/>
  <c r="DI31" i="1"/>
  <c r="DI32" i="1"/>
  <c r="DI33" i="1"/>
  <c r="DI34" i="1"/>
  <c r="DI35" i="1"/>
  <c r="DI36" i="1"/>
  <c r="DI37" i="1"/>
  <c r="DI38" i="1"/>
  <c r="DI39" i="1"/>
  <c r="DI40" i="1"/>
  <c r="DI41" i="1"/>
  <c r="DI42" i="1"/>
  <c r="DI43" i="1"/>
  <c r="DI44" i="1"/>
  <c r="DI45" i="1"/>
  <c r="DI46" i="1"/>
  <c r="DI47" i="1"/>
  <c r="DI48" i="1"/>
  <c r="DI49" i="1"/>
  <c r="DI50" i="1"/>
  <c r="DI51" i="1"/>
  <c r="DI52" i="1"/>
  <c r="DI53" i="1"/>
  <c r="DI54" i="1"/>
  <c r="DI55" i="1"/>
  <c r="DI56" i="1"/>
  <c r="DI57" i="1"/>
  <c r="DI58" i="1"/>
  <c r="DI59" i="1"/>
  <c r="DI60" i="1"/>
  <c r="DI61" i="1"/>
  <c r="DI62" i="1"/>
  <c r="DI63" i="1"/>
  <c r="DI64" i="1"/>
  <c r="DI65" i="1"/>
  <c r="DI66" i="1"/>
  <c r="DI67" i="1"/>
  <c r="DI68" i="1"/>
  <c r="DI69" i="1"/>
  <c r="DI70" i="1"/>
  <c r="DI108" i="1" s="1"/>
  <c r="DI71" i="1"/>
  <c r="DI72" i="1"/>
  <c r="DI73" i="1"/>
  <c r="DI74" i="1"/>
  <c r="DI75" i="1"/>
  <c r="DI76" i="1"/>
  <c r="DI77" i="1"/>
  <c r="DI78" i="1"/>
  <c r="DI79" i="1"/>
  <c r="DI80" i="1"/>
  <c r="DI81" i="1"/>
  <c r="DI82" i="1"/>
  <c r="DI83" i="1"/>
  <c r="DI84" i="1"/>
  <c r="DI85" i="1"/>
  <c r="DI86" i="1"/>
  <c r="DI87" i="1"/>
  <c r="DI88" i="1"/>
  <c r="DI89" i="1"/>
  <c r="DI90" i="1"/>
  <c r="DI91" i="1"/>
  <c r="DI92" i="1"/>
  <c r="DI93" i="1"/>
  <c r="DI94" i="1"/>
  <c r="DI95" i="1"/>
  <c r="DI96" i="1"/>
  <c r="DI97" i="1"/>
  <c r="DI98" i="1"/>
  <c r="DI99" i="1"/>
  <c r="DI100" i="1"/>
  <c r="DI101" i="1"/>
  <c r="DI102" i="1"/>
  <c r="DI103" i="1"/>
  <c r="DI104" i="1"/>
  <c r="DI105" i="1"/>
  <c r="DI106" i="1"/>
  <c r="DJ108" i="1"/>
  <c r="DK3" i="1"/>
  <c r="DK4" i="1"/>
  <c r="DK5" i="1"/>
  <c r="DK6" i="1"/>
  <c r="DK7" i="1"/>
  <c r="DK8" i="1"/>
  <c r="DK9" i="1"/>
  <c r="DK10" i="1"/>
  <c r="DK11" i="1"/>
  <c r="DK12" i="1"/>
  <c r="DK13" i="1"/>
  <c r="DK14" i="1"/>
  <c r="DK15" i="1"/>
  <c r="DK16" i="1"/>
  <c r="DK17" i="1"/>
  <c r="DK18" i="1"/>
  <c r="DK19" i="1"/>
  <c r="DK20" i="1"/>
  <c r="DK21" i="1"/>
  <c r="DK22" i="1"/>
  <c r="DK23" i="1"/>
  <c r="DK24" i="1"/>
  <c r="DK25" i="1"/>
  <c r="DK26" i="1"/>
  <c r="DK27" i="1"/>
  <c r="DK28" i="1"/>
  <c r="DK29" i="1"/>
  <c r="DK30" i="1"/>
  <c r="DK31" i="1"/>
  <c r="DK32" i="1"/>
  <c r="DK33" i="1"/>
  <c r="DK34" i="1"/>
  <c r="DK35" i="1"/>
  <c r="DK36" i="1"/>
  <c r="DK37" i="1"/>
  <c r="DK38" i="1"/>
  <c r="DK39" i="1"/>
  <c r="DK40" i="1"/>
  <c r="DK41" i="1"/>
  <c r="DK42" i="1"/>
  <c r="DK43" i="1"/>
  <c r="DK44" i="1"/>
  <c r="DK45" i="1"/>
  <c r="DK46" i="1"/>
  <c r="DK47" i="1"/>
  <c r="DK48" i="1"/>
  <c r="DK49" i="1"/>
  <c r="DK50" i="1"/>
  <c r="DK51" i="1"/>
  <c r="DK52" i="1"/>
  <c r="DK53" i="1"/>
  <c r="DK54" i="1"/>
  <c r="DK55" i="1"/>
  <c r="DK56" i="1"/>
  <c r="DK57" i="1"/>
  <c r="DK58" i="1"/>
  <c r="DK59" i="1"/>
  <c r="DK60" i="1"/>
  <c r="DK61" i="1"/>
  <c r="DK62" i="1"/>
  <c r="DK63" i="1"/>
  <c r="DK64" i="1"/>
  <c r="DK65" i="1"/>
  <c r="DK66" i="1"/>
  <c r="DK67" i="1"/>
  <c r="DK68" i="1"/>
  <c r="DK69" i="1"/>
  <c r="DK70" i="1"/>
  <c r="DK71" i="1"/>
  <c r="DK72" i="1"/>
  <c r="DK73" i="1"/>
  <c r="DK74" i="1"/>
  <c r="DK75" i="1"/>
  <c r="DK76" i="1"/>
  <c r="DK77" i="1"/>
  <c r="DK78" i="1"/>
  <c r="DK79" i="1"/>
  <c r="DK80" i="1"/>
  <c r="DK81" i="1"/>
  <c r="DK82" i="1"/>
  <c r="DK83" i="1"/>
  <c r="DK84" i="1"/>
  <c r="DK85" i="1"/>
  <c r="DK86" i="1"/>
  <c r="DK87" i="1"/>
  <c r="DK88" i="1"/>
  <c r="DK89" i="1"/>
  <c r="DK90" i="1"/>
  <c r="DK91" i="1"/>
  <c r="DK92" i="1"/>
  <c r="DK93" i="1"/>
  <c r="DK94" i="1"/>
  <c r="DK95" i="1"/>
  <c r="DK96" i="1"/>
  <c r="DK97" i="1"/>
  <c r="DK98" i="1"/>
  <c r="DK99" i="1"/>
  <c r="DK100" i="1"/>
  <c r="DK101" i="1"/>
  <c r="DK102" i="1"/>
  <c r="DK103" i="1"/>
  <c r="DK104" i="1"/>
  <c r="DK105" i="1"/>
  <c r="DK106" i="1"/>
  <c r="DK108" i="1"/>
  <c r="DL108" i="1"/>
  <c r="DM108" i="1"/>
  <c r="DN3" i="1"/>
  <c r="DN4" i="1"/>
  <c r="DN5" i="1"/>
  <c r="DN6" i="1"/>
  <c r="DN7" i="1"/>
  <c r="DN8" i="1"/>
  <c r="DN9" i="1"/>
  <c r="DN10" i="1"/>
  <c r="DN11" i="1"/>
  <c r="DN12" i="1"/>
  <c r="DN13" i="1"/>
  <c r="DN14" i="1"/>
  <c r="DN15" i="1"/>
  <c r="DN16" i="1"/>
  <c r="DN17" i="1"/>
  <c r="DN18" i="1"/>
  <c r="DN19" i="1"/>
  <c r="DN20" i="1"/>
  <c r="DN21" i="1"/>
  <c r="DN22" i="1"/>
  <c r="DN23" i="1"/>
  <c r="DN24" i="1"/>
  <c r="DN25" i="1"/>
  <c r="DN26" i="1"/>
  <c r="DN27" i="1"/>
  <c r="DN28" i="1"/>
  <c r="DN29" i="1"/>
  <c r="DN30" i="1"/>
  <c r="DN31" i="1"/>
  <c r="DN32" i="1"/>
  <c r="DN33" i="1"/>
  <c r="DN34" i="1"/>
  <c r="DN35" i="1"/>
  <c r="DN36" i="1"/>
  <c r="DN37" i="1"/>
  <c r="DN38" i="1"/>
  <c r="DN39" i="1"/>
  <c r="DN40" i="1"/>
  <c r="DN41" i="1"/>
  <c r="DN42" i="1"/>
  <c r="DN43" i="1"/>
  <c r="DN44" i="1"/>
  <c r="DN45" i="1"/>
  <c r="DN46" i="1"/>
  <c r="DN47" i="1"/>
  <c r="DN48" i="1"/>
  <c r="DN49" i="1"/>
  <c r="DN50" i="1"/>
  <c r="DN51" i="1"/>
  <c r="DN52" i="1"/>
  <c r="DN53" i="1"/>
  <c r="DN54" i="1"/>
  <c r="DN55" i="1"/>
  <c r="DN56" i="1"/>
  <c r="DN57" i="1"/>
  <c r="DN58" i="1"/>
  <c r="DN59" i="1"/>
  <c r="DN60" i="1"/>
  <c r="DN61" i="1"/>
  <c r="DN62" i="1"/>
  <c r="DN63" i="1"/>
  <c r="DN64" i="1"/>
  <c r="DN65" i="1"/>
  <c r="DN66" i="1"/>
  <c r="DN67" i="1"/>
  <c r="DN68" i="1"/>
  <c r="DN69" i="1"/>
  <c r="DN70" i="1"/>
  <c r="DN71" i="1"/>
  <c r="DN72" i="1"/>
  <c r="DN73" i="1"/>
  <c r="DN74" i="1"/>
  <c r="DN75" i="1"/>
  <c r="DN76" i="1"/>
  <c r="DN77" i="1"/>
  <c r="DN78" i="1"/>
  <c r="DN79" i="1"/>
  <c r="DN80" i="1"/>
  <c r="DN81" i="1"/>
  <c r="DN82" i="1"/>
  <c r="DN83" i="1"/>
  <c r="DN84" i="1"/>
  <c r="DN85" i="1"/>
  <c r="DN86" i="1"/>
  <c r="DN87" i="1"/>
  <c r="DN88" i="1"/>
  <c r="DN89" i="1"/>
  <c r="DN90" i="1"/>
  <c r="DN91" i="1"/>
  <c r="DN92" i="1"/>
  <c r="DN93" i="1"/>
  <c r="DN94" i="1"/>
  <c r="DN95" i="1"/>
  <c r="DN96" i="1"/>
  <c r="DN108" i="1" s="1"/>
  <c r="DN97" i="1"/>
  <c r="DN98" i="1"/>
  <c r="DN99" i="1"/>
  <c r="DN100" i="1"/>
  <c r="DN101" i="1"/>
  <c r="DN102" i="1"/>
  <c r="DN103" i="1"/>
  <c r="DN104" i="1"/>
  <c r="DN105" i="1"/>
  <c r="DN106" i="1"/>
  <c r="DO108" i="1"/>
  <c r="DP108" i="1"/>
  <c r="DQ3" i="1"/>
  <c r="DQ4" i="1"/>
  <c r="DQ5" i="1"/>
  <c r="DQ6" i="1"/>
  <c r="DQ7" i="1"/>
  <c r="DQ8" i="1"/>
  <c r="DQ9" i="1"/>
  <c r="DQ10" i="1"/>
  <c r="DQ11" i="1"/>
  <c r="DQ12" i="1"/>
  <c r="DQ13" i="1"/>
  <c r="DQ14" i="1"/>
  <c r="DQ15" i="1"/>
  <c r="DQ16" i="1"/>
  <c r="DQ17" i="1"/>
  <c r="DQ18" i="1"/>
  <c r="DQ19" i="1"/>
  <c r="DQ20" i="1"/>
  <c r="DQ21" i="1"/>
  <c r="DQ22" i="1"/>
  <c r="DQ23" i="1"/>
  <c r="DQ24" i="1"/>
  <c r="DQ25" i="1"/>
  <c r="DQ26" i="1"/>
  <c r="DQ27" i="1"/>
  <c r="DQ28" i="1"/>
  <c r="DQ29" i="1"/>
  <c r="DQ30" i="1"/>
  <c r="DQ31" i="1"/>
  <c r="DQ32" i="1"/>
  <c r="DQ33" i="1"/>
  <c r="DQ34" i="1"/>
  <c r="DQ35" i="1"/>
  <c r="DQ36" i="1"/>
  <c r="DQ37" i="1"/>
  <c r="DQ38" i="1"/>
  <c r="DQ39" i="1"/>
  <c r="DQ40" i="1"/>
  <c r="DQ41" i="1"/>
  <c r="DQ42" i="1"/>
  <c r="DQ43" i="1"/>
  <c r="DQ44" i="1"/>
  <c r="DQ45" i="1"/>
  <c r="DQ46" i="1"/>
  <c r="DQ47" i="1"/>
  <c r="DQ48" i="1"/>
  <c r="DQ49" i="1"/>
  <c r="DQ50" i="1"/>
  <c r="DQ51" i="1"/>
  <c r="DQ52" i="1"/>
  <c r="DQ53" i="1"/>
  <c r="DQ54" i="1"/>
  <c r="DQ55" i="1"/>
  <c r="DQ56" i="1"/>
  <c r="DQ57" i="1"/>
  <c r="DQ58" i="1"/>
  <c r="DQ59" i="1"/>
  <c r="DQ60" i="1"/>
  <c r="DQ61" i="1"/>
  <c r="DQ62" i="1"/>
  <c r="DQ63" i="1"/>
  <c r="DQ64" i="1"/>
  <c r="DQ65" i="1"/>
  <c r="DQ66" i="1"/>
  <c r="DQ67" i="1"/>
  <c r="DQ68" i="1"/>
  <c r="DQ69" i="1"/>
  <c r="DQ70" i="1"/>
  <c r="DQ71" i="1"/>
  <c r="DQ72" i="1"/>
  <c r="DQ73" i="1"/>
  <c r="DQ74" i="1"/>
  <c r="DQ75" i="1"/>
  <c r="DQ76" i="1"/>
  <c r="DQ77" i="1"/>
  <c r="DQ78" i="1"/>
  <c r="DQ79" i="1"/>
  <c r="DQ80" i="1"/>
  <c r="DQ81" i="1"/>
  <c r="DQ82" i="1"/>
  <c r="DQ83" i="1"/>
  <c r="DQ84" i="1"/>
  <c r="DQ85" i="1"/>
  <c r="DQ86" i="1"/>
  <c r="DQ87" i="1"/>
  <c r="DQ88" i="1"/>
  <c r="DQ89" i="1"/>
  <c r="DQ90" i="1"/>
  <c r="DQ91" i="1"/>
  <c r="DQ92" i="1"/>
  <c r="DQ93" i="1"/>
  <c r="DQ94" i="1"/>
  <c r="DQ95" i="1"/>
  <c r="DQ96" i="1"/>
  <c r="DQ97" i="1"/>
  <c r="DQ98" i="1"/>
  <c r="DQ99" i="1"/>
  <c r="DQ100" i="1"/>
  <c r="DQ101" i="1"/>
  <c r="DQ108" i="1" s="1"/>
  <c r="DQ102" i="1"/>
  <c r="DQ103" i="1"/>
  <c r="DQ104" i="1"/>
  <c r="DQ105" i="1"/>
  <c r="DQ106" i="1"/>
  <c r="DR3" i="1"/>
  <c r="DR4" i="1"/>
  <c r="DR5" i="1"/>
  <c r="DR6" i="1"/>
  <c r="DR7" i="1"/>
  <c r="DR8" i="1"/>
  <c r="DR9" i="1"/>
  <c r="DR10" i="1"/>
  <c r="DR11" i="1"/>
  <c r="DR12" i="1"/>
  <c r="DR13" i="1"/>
  <c r="DR14" i="1"/>
  <c r="DR15" i="1"/>
  <c r="DR16" i="1"/>
  <c r="DR17" i="1"/>
  <c r="DR18" i="1"/>
  <c r="DR19" i="1"/>
  <c r="DR20" i="1"/>
  <c r="DR21" i="1"/>
  <c r="DR22" i="1"/>
  <c r="DR23" i="1"/>
  <c r="DR24" i="1"/>
  <c r="DR25" i="1"/>
  <c r="DR26" i="1"/>
  <c r="DR27" i="1"/>
  <c r="DR28" i="1"/>
  <c r="DR29" i="1"/>
  <c r="DR30" i="1"/>
  <c r="DR31" i="1"/>
  <c r="DR32" i="1"/>
  <c r="DR33" i="1"/>
  <c r="DR34" i="1"/>
  <c r="DR35" i="1"/>
  <c r="DR36" i="1"/>
  <c r="DR37" i="1"/>
  <c r="DR38" i="1"/>
  <c r="DR39" i="1"/>
  <c r="DR40" i="1"/>
  <c r="DR41" i="1"/>
  <c r="DR42" i="1"/>
  <c r="DR43" i="1"/>
  <c r="DR44" i="1"/>
  <c r="DR45" i="1"/>
  <c r="DR46" i="1"/>
  <c r="DR47" i="1"/>
  <c r="DR48" i="1"/>
  <c r="DR49" i="1"/>
  <c r="DR50" i="1"/>
  <c r="DR51" i="1"/>
  <c r="DR52" i="1"/>
  <c r="DR53" i="1"/>
  <c r="DR54" i="1"/>
  <c r="DR55" i="1"/>
  <c r="DR56" i="1"/>
  <c r="DR57" i="1"/>
  <c r="DR58" i="1"/>
  <c r="DR59" i="1"/>
  <c r="DR60" i="1"/>
  <c r="DR61" i="1"/>
  <c r="DR62" i="1"/>
  <c r="DR63" i="1"/>
  <c r="DR64" i="1"/>
  <c r="DR65" i="1"/>
  <c r="DR66" i="1"/>
  <c r="DR67" i="1"/>
  <c r="DR68" i="1"/>
  <c r="DR69" i="1"/>
  <c r="DR70" i="1"/>
  <c r="DR71" i="1"/>
  <c r="DR72" i="1"/>
  <c r="DR73" i="1"/>
  <c r="DR74" i="1"/>
  <c r="DR75" i="1"/>
  <c r="DR76" i="1"/>
  <c r="DR77" i="1"/>
  <c r="DR78" i="1"/>
  <c r="DR79" i="1"/>
  <c r="DR80" i="1"/>
  <c r="DR81" i="1"/>
  <c r="DR82" i="1"/>
  <c r="DR83" i="1"/>
  <c r="DR84" i="1"/>
  <c r="DR85" i="1"/>
  <c r="DR86" i="1"/>
  <c r="DR87" i="1"/>
  <c r="DR88" i="1"/>
  <c r="DR89" i="1"/>
  <c r="DR90" i="1"/>
  <c r="DR91" i="1"/>
  <c r="DR92" i="1"/>
  <c r="DR93" i="1"/>
  <c r="DR94" i="1"/>
  <c r="DR95" i="1"/>
  <c r="DR96" i="1"/>
  <c r="DR97" i="1"/>
  <c r="DR98" i="1"/>
  <c r="DR99" i="1"/>
  <c r="DR100" i="1"/>
  <c r="DR101" i="1"/>
  <c r="DR102" i="1"/>
  <c r="DR103" i="1"/>
  <c r="DR104" i="1"/>
  <c r="DR105" i="1"/>
  <c r="DR106" i="1"/>
  <c r="DR108" i="1"/>
  <c r="DU3" i="1"/>
  <c r="DS3" i="1" s="1"/>
  <c r="DU4" i="1"/>
  <c r="DS4" i="1"/>
  <c r="DU5" i="1"/>
  <c r="DS5" i="1" s="1"/>
  <c r="DU6" i="1"/>
  <c r="DS6" i="1"/>
  <c r="DU7" i="1"/>
  <c r="DS7" i="1" s="1"/>
  <c r="DU8" i="1"/>
  <c r="DS8" i="1" s="1"/>
  <c r="DU9" i="1"/>
  <c r="DS9" i="1" s="1"/>
  <c r="DU10" i="1"/>
  <c r="DS10" i="1" s="1"/>
  <c r="DU11" i="1"/>
  <c r="DS11" i="1" s="1"/>
  <c r="DU12" i="1"/>
  <c r="DS12" i="1" s="1"/>
  <c r="DU13" i="1"/>
  <c r="DS13" i="1" s="1"/>
  <c r="DU14" i="1"/>
  <c r="DS14" i="1" s="1"/>
  <c r="DU15" i="1"/>
  <c r="DS15" i="1" s="1"/>
  <c r="DU16" i="1"/>
  <c r="DS16" i="1" s="1"/>
  <c r="DU17" i="1"/>
  <c r="DS17" i="1" s="1"/>
  <c r="DU18" i="1"/>
  <c r="DS18" i="1" s="1"/>
  <c r="DU19" i="1"/>
  <c r="DS19" i="1" s="1"/>
  <c r="DU20" i="1"/>
  <c r="DS20" i="1" s="1"/>
  <c r="DU21" i="1"/>
  <c r="DS21" i="1" s="1"/>
  <c r="DU22" i="1"/>
  <c r="DS22" i="1" s="1"/>
  <c r="DU23" i="1"/>
  <c r="DS23" i="1" s="1"/>
  <c r="DU24" i="1"/>
  <c r="DS24" i="1" s="1"/>
  <c r="DU25" i="1"/>
  <c r="DS25" i="1" s="1"/>
  <c r="DU26" i="1"/>
  <c r="DS26" i="1" s="1"/>
  <c r="DU27" i="1"/>
  <c r="DS27" i="1" s="1"/>
  <c r="DU28" i="1"/>
  <c r="DS28" i="1" s="1"/>
  <c r="DU29" i="1"/>
  <c r="DS29" i="1" s="1"/>
  <c r="DU30" i="1"/>
  <c r="DS30" i="1" s="1"/>
  <c r="DU31" i="1"/>
  <c r="DS31" i="1" s="1"/>
  <c r="DU32" i="1"/>
  <c r="DS32" i="1" s="1"/>
  <c r="DU33" i="1"/>
  <c r="DS33" i="1" s="1"/>
  <c r="DU34" i="1"/>
  <c r="DS34" i="1" s="1"/>
  <c r="DU35" i="1"/>
  <c r="DS35" i="1" s="1"/>
  <c r="DU36" i="1"/>
  <c r="DS36" i="1" s="1"/>
  <c r="DU37" i="1"/>
  <c r="DS37" i="1" s="1"/>
  <c r="DU38" i="1"/>
  <c r="DS38" i="1" s="1"/>
  <c r="DU39" i="1"/>
  <c r="DS39" i="1" s="1"/>
  <c r="DU40" i="1"/>
  <c r="DS40" i="1" s="1"/>
  <c r="DU41" i="1"/>
  <c r="DS41" i="1" s="1"/>
  <c r="DU42" i="1"/>
  <c r="DS42" i="1" s="1"/>
  <c r="DU43" i="1"/>
  <c r="DS43" i="1" s="1"/>
  <c r="DU44" i="1"/>
  <c r="DS44" i="1" s="1"/>
  <c r="DU45" i="1"/>
  <c r="DS45" i="1" s="1"/>
  <c r="DU46" i="1"/>
  <c r="DS46" i="1" s="1"/>
  <c r="DU47" i="1"/>
  <c r="DS47" i="1" s="1"/>
  <c r="DU48" i="1"/>
  <c r="DS48" i="1" s="1"/>
  <c r="DU49" i="1"/>
  <c r="DS49" i="1" s="1"/>
  <c r="DU50" i="1"/>
  <c r="DS50" i="1" s="1"/>
  <c r="DU51" i="1"/>
  <c r="DS51" i="1" s="1"/>
  <c r="DU52" i="1"/>
  <c r="DS52" i="1" s="1"/>
  <c r="DU53" i="1"/>
  <c r="DS53" i="1" s="1"/>
  <c r="DU54" i="1"/>
  <c r="DS54" i="1" s="1"/>
  <c r="DU55" i="1"/>
  <c r="DS55" i="1" s="1"/>
  <c r="DU56" i="1"/>
  <c r="DS56" i="1" s="1"/>
  <c r="DU57" i="1"/>
  <c r="DS57" i="1" s="1"/>
  <c r="DU58" i="1"/>
  <c r="DS58" i="1" s="1"/>
  <c r="DU59" i="1"/>
  <c r="DS59" i="1" s="1"/>
  <c r="DU60" i="1"/>
  <c r="DS60" i="1" s="1"/>
  <c r="DU61" i="1"/>
  <c r="DS61" i="1" s="1"/>
  <c r="DU62" i="1"/>
  <c r="DS62" i="1" s="1"/>
  <c r="DU63" i="1"/>
  <c r="DS63" i="1" s="1"/>
  <c r="DU64" i="1"/>
  <c r="DS64" i="1" s="1"/>
  <c r="DU65" i="1"/>
  <c r="DS65" i="1" s="1"/>
  <c r="DU66" i="1"/>
  <c r="DS66" i="1" s="1"/>
  <c r="DU67" i="1"/>
  <c r="DS67" i="1" s="1"/>
  <c r="DU68" i="1"/>
  <c r="DS68" i="1" s="1"/>
  <c r="DU69" i="1"/>
  <c r="DS69" i="1" s="1"/>
  <c r="DU70" i="1"/>
  <c r="DS70" i="1" s="1"/>
  <c r="DU71" i="1"/>
  <c r="DS71" i="1" s="1"/>
  <c r="DU72" i="1"/>
  <c r="DS72" i="1" s="1"/>
  <c r="DU73" i="1"/>
  <c r="DS73" i="1" s="1"/>
  <c r="DU74" i="1"/>
  <c r="DS74" i="1" s="1"/>
  <c r="DU75" i="1"/>
  <c r="DS75" i="1" s="1"/>
  <c r="DU76" i="1"/>
  <c r="DS76" i="1" s="1"/>
  <c r="DU77" i="1"/>
  <c r="DS77" i="1" s="1"/>
  <c r="DU78" i="1"/>
  <c r="DS78" i="1" s="1"/>
  <c r="DU79" i="1"/>
  <c r="DS79" i="1" s="1"/>
  <c r="DU80" i="1"/>
  <c r="DS80" i="1" s="1"/>
  <c r="DU81" i="1"/>
  <c r="DS81" i="1" s="1"/>
  <c r="DU82" i="1"/>
  <c r="DS82" i="1" s="1"/>
  <c r="DU83" i="1"/>
  <c r="DS83" i="1" s="1"/>
  <c r="DU84" i="1"/>
  <c r="DS84" i="1" s="1"/>
  <c r="DU85" i="1"/>
  <c r="DS85" i="1" s="1"/>
  <c r="DU86" i="1"/>
  <c r="DS86" i="1" s="1"/>
  <c r="DU87" i="1"/>
  <c r="DS87" i="1" s="1"/>
  <c r="DU88" i="1"/>
  <c r="DS88" i="1" s="1"/>
  <c r="DU89" i="1"/>
  <c r="DS89" i="1" s="1"/>
  <c r="DU90" i="1"/>
  <c r="DS90" i="1" s="1"/>
  <c r="DU91" i="1"/>
  <c r="DS91" i="1" s="1"/>
  <c r="DU92" i="1"/>
  <c r="DS92" i="1" s="1"/>
  <c r="DU93" i="1"/>
  <c r="DS93" i="1" s="1"/>
  <c r="DU94" i="1"/>
  <c r="DS94" i="1" s="1"/>
  <c r="DU95" i="1"/>
  <c r="DS95" i="1" s="1"/>
  <c r="DU96" i="1"/>
  <c r="DS96" i="1" s="1"/>
  <c r="DU97" i="1"/>
  <c r="DS97" i="1" s="1"/>
  <c r="DU98" i="1"/>
  <c r="DS98" i="1" s="1"/>
  <c r="DU99" i="1"/>
  <c r="DS99" i="1" s="1"/>
  <c r="DU100" i="1"/>
  <c r="DS100" i="1" s="1"/>
  <c r="DU101" i="1"/>
  <c r="DS101" i="1" s="1"/>
  <c r="DU102" i="1"/>
  <c r="DS102" i="1" s="1"/>
  <c r="DU103" i="1"/>
  <c r="DS103" i="1" s="1"/>
  <c r="DU104" i="1"/>
  <c r="DS104" i="1" s="1"/>
  <c r="DU105" i="1"/>
  <c r="DS105" i="1" s="1"/>
  <c r="DU106" i="1"/>
  <c r="DS106" i="1" s="1"/>
  <c r="DT3" i="1"/>
  <c r="DT4" i="1"/>
  <c r="DT108" i="1" s="1"/>
  <c r="DT5" i="1"/>
  <c r="DT6" i="1"/>
  <c r="DT7" i="1"/>
  <c r="DT8" i="1"/>
  <c r="DT9" i="1"/>
  <c r="DT10" i="1"/>
  <c r="DT11" i="1"/>
  <c r="DT12" i="1"/>
  <c r="DT13" i="1"/>
  <c r="DT14" i="1"/>
  <c r="DT15" i="1"/>
  <c r="DT16" i="1"/>
  <c r="DT17" i="1"/>
  <c r="DT18" i="1"/>
  <c r="DT19" i="1"/>
  <c r="DT20" i="1"/>
  <c r="DT21" i="1"/>
  <c r="DT22" i="1"/>
  <c r="DT23" i="1"/>
  <c r="DT24" i="1"/>
  <c r="DT25" i="1"/>
  <c r="DT26" i="1"/>
  <c r="DT27" i="1"/>
  <c r="DT28" i="1"/>
  <c r="DT29" i="1"/>
  <c r="DT30" i="1"/>
  <c r="DT31" i="1"/>
  <c r="DT32" i="1"/>
  <c r="DT33" i="1"/>
  <c r="DT34" i="1"/>
  <c r="DT35" i="1"/>
  <c r="DT36" i="1"/>
  <c r="DT37" i="1"/>
  <c r="DT38" i="1"/>
  <c r="DT39" i="1"/>
  <c r="DT40" i="1"/>
  <c r="DT41" i="1"/>
  <c r="DT42" i="1"/>
  <c r="DT43" i="1"/>
  <c r="DT44" i="1"/>
  <c r="DT45" i="1"/>
  <c r="DT46" i="1"/>
  <c r="DT47" i="1"/>
  <c r="DT48" i="1"/>
  <c r="DT49" i="1"/>
  <c r="DT50" i="1"/>
  <c r="DT51" i="1"/>
  <c r="DT52" i="1"/>
  <c r="DT53" i="1"/>
  <c r="DT54" i="1"/>
  <c r="DT55" i="1"/>
  <c r="DT56" i="1"/>
  <c r="DT57" i="1"/>
  <c r="DT58" i="1"/>
  <c r="DT59" i="1"/>
  <c r="DT60" i="1"/>
  <c r="DT61" i="1"/>
  <c r="DT62" i="1"/>
  <c r="DT63" i="1"/>
  <c r="DT64" i="1"/>
  <c r="DT65" i="1"/>
  <c r="DT66" i="1"/>
  <c r="DT67" i="1"/>
  <c r="DT68" i="1"/>
  <c r="DT69" i="1"/>
  <c r="DT70" i="1"/>
  <c r="DT71" i="1"/>
  <c r="DT72" i="1"/>
  <c r="DT73" i="1"/>
  <c r="DT74" i="1"/>
  <c r="DT75" i="1"/>
  <c r="DT76" i="1"/>
  <c r="DT77" i="1"/>
  <c r="DT78" i="1"/>
  <c r="DT79" i="1"/>
  <c r="DT80" i="1"/>
  <c r="DT81" i="1"/>
  <c r="DT82" i="1"/>
  <c r="DT83" i="1"/>
  <c r="DT84" i="1"/>
  <c r="DT85" i="1"/>
  <c r="DT86" i="1"/>
  <c r="DT87" i="1"/>
  <c r="DT88" i="1"/>
  <c r="DT89" i="1"/>
  <c r="DT90" i="1"/>
  <c r="DT91" i="1"/>
  <c r="DT92" i="1"/>
  <c r="DT93" i="1"/>
  <c r="DT94" i="1"/>
  <c r="DT95" i="1"/>
  <c r="DT96" i="1"/>
  <c r="DT97" i="1"/>
  <c r="DT98" i="1"/>
  <c r="DT99" i="1"/>
  <c r="DT100" i="1"/>
  <c r="DT101" i="1"/>
  <c r="DT102" i="1"/>
  <c r="DT103" i="1"/>
  <c r="DT104" i="1"/>
  <c r="DT105" i="1"/>
  <c r="DT106" i="1"/>
  <c r="DU108" i="1"/>
  <c r="DV3" i="1"/>
  <c r="DV4" i="1"/>
  <c r="DV5" i="1"/>
  <c r="DV6" i="1"/>
  <c r="DV7" i="1"/>
  <c r="DV8" i="1"/>
  <c r="DV9" i="1"/>
  <c r="DV10" i="1"/>
  <c r="DV11" i="1"/>
  <c r="DV12" i="1"/>
  <c r="DV13" i="1"/>
  <c r="DV14" i="1"/>
  <c r="DV15" i="1"/>
  <c r="DV16" i="1"/>
  <c r="DV17" i="1"/>
  <c r="DV18" i="1"/>
  <c r="DV19" i="1"/>
  <c r="DV20" i="1"/>
  <c r="DV21" i="1"/>
  <c r="DV22" i="1"/>
  <c r="DV23" i="1"/>
  <c r="DV24" i="1"/>
  <c r="DV25" i="1"/>
  <c r="DV26" i="1"/>
  <c r="DV27" i="1"/>
  <c r="DV28" i="1"/>
  <c r="DV29" i="1"/>
  <c r="DV30" i="1"/>
  <c r="DV31" i="1"/>
  <c r="DV32" i="1"/>
  <c r="DV33" i="1"/>
  <c r="DV34" i="1"/>
  <c r="DV35" i="1"/>
  <c r="DV36" i="1"/>
  <c r="DV37" i="1"/>
  <c r="DV38" i="1"/>
  <c r="DV39" i="1"/>
  <c r="DV40" i="1"/>
  <c r="DV41" i="1"/>
  <c r="DV42" i="1"/>
  <c r="DV43" i="1"/>
  <c r="DV44" i="1"/>
  <c r="DV45" i="1"/>
  <c r="DV46" i="1"/>
  <c r="DV47" i="1"/>
  <c r="DV48" i="1"/>
  <c r="DV49" i="1"/>
  <c r="DV50" i="1"/>
  <c r="DV51" i="1"/>
  <c r="DV52" i="1"/>
  <c r="DV53" i="1"/>
  <c r="DV54" i="1"/>
  <c r="DV55" i="1"/>
  <c r="DV56" i="1"/>
  <c r="DV57" i="1"/>
  <c r="DV58" i="1"/>
  <c r="DV59" i="1"/>
  <c r="DV60" i="1"/>
  <c r="DV61" i="1"/>
  <c r="DV62" i="1"/>
  <c r="DV63" i="1"/>
  <c r="DV64" i="1"/>
  <c r="DV65" i="1"/>
  <c r="DV66" i="1"/>
  <c r="DV67" i="1"/>
  <c r="DV68" i="1"/>
  <c r="DV69" i="1"/>
  <c r="DV70" i="1"/>
  <c r="DV71" i="1"/>
  <c r="DV72" i="1"/>
  <c r="DV73" i="1"/>
  <c r="DV74" i="1"/>
  <c r="DV75" i="1"/>
  <c r="DV76" i="1"/>
  <c r="DV77" i="1"/>
  <c r="DV78" i="1"/>
  <c r="DV79" i="1"/>
  <c r="DV80" i="1"/>
  <c r="DV81" i="1"/>
  <c r="DV82" i="1"/>
  <c r="DV83" i="1"/>
  <c r="DV84" i="1"/>
  <c r="DV85" i="1"/>
  <c r="DV86" i="1"/>
  <c r="DV87" i="1"/>
  <c r="DV88" i="1"/>
  <c r="DV89" i="1"/>
  <c r="DV90" i="1"/>
  <c r="DV91" i="1"/>
  <c r="DV92" i="1"/>
  <c r="DV93" i="1"/>
  <c r="DV94" i="1"/>
  <c r="DV95" i="1"/>
  <c r="DV96" i="1"/>
  <c r="DV97" i="1"/>
  <c r="DV98" i="1"/>
  <c r="DV99" i="1"/>
  <c r="DV100" i="1"/>
  <c r="DV101" i="1"/>
  <c r="DV102" i="1"/>
  <c r="DV103" i="1"/>
  <c r="DV104" i="1"/>
  <c r="DV105" i="1"/>
  <c r="DV106" i="1"/>
  <c r="DW3" i="1"/>
  <c r="DW4" i="1"/>
  <c r="DW5" i="1"/>
  <c r="DW6" i="1"/>
  <c r="DW7" i="1"/>
  <c r="DW8" i="1"/>
  <c r="DW9" i="1"/>
  <c r="DW10" i="1"/>
  <c r="DW11" i="1"/>
  <c r="DW12" i="1"/>
  <c r="DW13" i="1"/>
  <c r="DW14" i="1"/>
  <c r="DW15" i="1"/>
  <c r="DW16" i="1"/>
  <c r="DW17" i="1"/>
  <c r="DW18" i="1"/>
  <c r="DW19" i="1"/>
  <c r="DW20" i="1"/>
  <c r="DW21" i="1"/>
  <c r="DW22" i="1"/>
  <c r="DW23" i="1"/>
  <c r="DW24" i="1"/>
  <c r="DW25" i="1"/>
  <c r="DW26" i="1"/>
  <c r="DW27" i="1"/>
  <c r="DW28" i="1"/>
  <c r="DW29" i="1"/>
  <c r="DW30" i="1"/>
  <c r="DW31" i="1"/>
  <c r="DW32" i="1"/>
  <c r="DW33" i="1"/>
  <c r="DW34" i="1"/>
  <c r="DW35" i="1"/>
  <c r="DW36" i="1"/>
  <c r="DW37" i="1"/>
  <c r="DW38" i="1"/>
  <c r="DW39" i="1"/>
  <c r="DW40" i="1"/>
  <c r="DW41" i="1"/>
  <c r="DW42" i="1"/>
  <c r="DW43" i="1"/>
  <c r="DW44" i="1"/>
  <c r="DW45" i="1"/>
  <c r="DW46" i="1"/>
  <c r="DW47" i="1"/>
  <c r="DW48" i="1"/>
  <c r="DW49" i="1"/>
  <c r="DW50" i="1"/>
  <c r="DW51" i="1"/>
  <c r="DW52" i="1"/>
  <c r="DW53" i="1"/>
  <c r="DW54" i="1"/>
  <c r="DW55" i="1"/>
  <c r="DW56" i="1"/>
  <c r="DW57" i="1"/>
  <c r="DW58" i="1"/>
  <c r="DW59" i="1"/>
  <c r="DW60" i="1"/>
  <c r="DW61" i="1"/>
  <c r="DW62" i="1"/>
  <c r="DW63" i="1"/>
  <c r="DW64" i="1"/>
  <c r="DW65" i="1"/>
  <c r="DW66" i="1"/>
  <c r="DW67" i="1"/>
  <c r="DW68" i="1"/>
  <c r="DW69" i="1"/>
  <c r="DW70" i="1"/>
  <c r="DW71" i="1"/>
  <c r="DW72" i="1"/>
  <c r="DW73" i="1"/>
  <c r="DW74" i="1"/>
  <c r="DW75" i="1"/>
  <c r="DW76" i="1"/>
  <c r="DW77" i="1"/>
  <c r="DW78" i="1"/>
  <c r="DW79" i="1"/>
  <c r="DW80" i="1"/>
  <c r="DW81" i="1"/>
  <c r="DW82" i="1"/>
  <c r="DW83" i="1"/>
  <c r="DW84" i="1"/>
  <c r="DW85" i="1"/>
  <c r="DW86" i="1"/>
  <c r="DW87" i="1"/>
  <c r="DW88" i="1"/>
  <c r="DW89" i="1"/>
  <c r="DW90" i="1"/>
  <c r="DW91" i="1"/>
  <c r="DW92" i="1"/>
  <c r="DW93" i="1"/>
  <c r="DW94" i="1"/>
  <c r="DW95" i="1"/>
  <c r="DW96" i="1"/>
  <c r="DW97" i="1"/>
  <c r="DW98" i="1"/>
  <c r="DW99" i="1"/>
  <c r="DW100" i="1"/>
  <c r="DW101" i="1"/>
  <c r="DW102" i="1"/>
  <c r="DW103" i="1"/>
  <c r="DW104" i="1"/>
  <c r="DW105" i="1"/>
  <c r="DX108" i="1"/>
  <c r="EH3" i="1"/>
  <c r="EH4" i="1"/>
  <c r="EH5" i="1"/>
  <c r="EH6" i="1"/>
  <c r="EH7" i="1"/>
  <c r="EH8" i="1"/>
  <c r="EH9" i="1"/>
  <c r="EH10" i="1"/>
  <c r="EH11" i="1"/>
  <c r="EH12" i="1"/>
  <c r="EH13" i="1"/>
  <c r="EH14" i="1"/>
  <c r="EH15" i="1"/>
  <c r="EH16" i="1"/>
  <c r="EH17" i="1"/>
  <c r="EH18" i="1"/>
  <c r="EH19" i="1"/>
  <c r="EH20" i="1"/>
  <c r="EH21" i="1"/>
  <c r="EH22" i="1"/>
  <c r="EH23" i="1"/>
  <c r="EH24" i="1"/>
  <c r="EH25" i="1"/>
  <c r="EH26" i="1"/>
  <c r="EH27" i="1"/>
  <c r="EH28" i="1"/>
  <c r="EH29" i="1"/>
  <c r="EH30" i="1"/>
  <c r="EH31" i="1"/>
  <c r="EH32" i="1"/>
  <c r="EH33" i="1"/>
  <c r="EH34" i="1"/>
  <c r="EH35" i="1"/>
  <c r="EH36" i="1"/>
  <c r="EH37" i="1"/>
  <c r="EH38" i="1"/>
  <c r="EH39" i="1"/>
  <c r="EH40" i="1"/>
  <c r="EH41" i="1"/>
  <c r="EH42" i="1"/>
  <c r="EH43" i="1"/>
  <c r="EH44" i="1"/>
  <c r="EH45" i="1"/>
  <c r="EH46" i="1"/>
  <c r="EH47" i="1"/>
  <c r="EH48" i="1"/>
  <c r="EH49" i="1"/>
  <c r="EH50" i="1"/>
  <c r="EH51" i="1"/>
  <c r="EH52" i="1"/>
  <c r="EH53" i="1"/>
  <c r="EH54" i="1"/>
  <c r="EH55" i="1"/>
  <c r="EH56" i="1"/>
  <c r="EH57" i="1"/>
  <c r="EH58" i="1"/>
  <c r="EH59" i="1"/>
  <c r="EH60" i="1"/>
  <c r="EH61" i="1"/>
  <c r="EH62" i="1"/>
  <c r="EH63" i="1"/>
  <c r="EH64" i="1"/>
  <c r="EH65" i="1"/>
  <c r="EH66" i="1"/>
  <c r="EH67" i="1"/>
  <c r="EH68" i="1"/>
  <c r="EH69" i="1"/>
  <c r="EH70" i="1"/>
  <c r="EH71" i="1"/>
  <c r="EH72" i="1"/>
  <c r="EH73" i="1"/>
  <c r="EH74" i="1"/>
  <c r="EH75" i="1"/>
  <c r="EH76" i="1"/>
  <c r="EH77" i="1"/>
  <c r="EH78" i="1"/>
  <c r="EH79" i="1"/>
  <c r="EH80" i="1"/>
  <c r="EH81" i="1"/>
  <c r="EH82" i="1"/>
  <c r="EH83" i="1"/>
  <c r="EH84" i="1"/>
  <c r="EH85" i="1"/>
  <c r="EH86" i="1"/>
  <c r="EH87" i="1"/>
  <c r="EH88" i="1"/>
  <c r="EH89" i="1"/>
  <c r="EH90" i="1"/>
  <c r="EH91" i="1"/>
  <c r="EH92" i="1"/>
  <c r="EH93" i="1"/>
  <c r="EH94" i="1"/>
  <c r="EH95" i="1"/>
  <c r="EH96" i="1"/>
  <c r="EH97" i="1"/>
  <c r="EH98" i="1"/>
  <c r="EH99" i="1"/>
  <c r="EH100" i="1"/>
  <c r="EH101" i="1"/>
  <c r="EH102" i="1"/>
  <c r="EH103" i="1"/>
  <c r="EH104" i="1"/>
  <c r="EH105" i="1"/>
  <c r="EH106" i="1"/>
  <c r="EH108" i="1"/>
  <c r="EI108" i="1"/>
  <c r="EJ108" i="1"/>
  <c r="EL108" i="1"/>
  <c r="EM108" i="1"/>
  <c r="EO108" i="1"/>
  <c r="EP108" i="1"/>
  <c r="ES55" i="1"/>
  <c r="ES86" i="1"/>
  <c r="ES108" i="1" s="1"/>
  <c r="ET108" i="1"/>
  <c r="EU108" i="1"/>
  <c r="EW108" i="1"/>
  <c r="EX108" i="1"/>
  <c r="EZ108" i="1"/>
  <c r="FD3" i="1"/>
  <c r="FL3" i="1"/>
  <c r="FC3" i="1" s="1"/>
  <c r="FD4" i="1"/>
  <c r="FL4" i="1"/>
  <c r="FC4" i="1"/>
  <c r="FD5" i="1"/>
  <c r="FC5" i="1" s="1"/>
  <c r="FL5" i="1"/>
  <c r="FD6" i="1"/>
  <c r="FC6" i="1" s="1"/>
  <c r="FL6" i="1"/>
  <c r="FD7" i="1"/>
  <c r="FL7" i="1"/>
  <c r="FC7" i="1" s="1"/>
  <c r="FD8" i="1"/>
  <c r="FL8" i="1"/>
  <c r="FC8" i="1"/>
  <c r="FD9" i="1"/>
  <c r="FC9" i="1" s="1"/>
  <c r="FL9" i="1"/>
  <c r="FD10" i="1"/>
  <c r="FC10" i="1" s="1"/>
  <c r="FL10" i="1"/>
  <c r="FD11" i="1"/>
  <c r="FL11" i="1"/>
  <c r="FC11" i="1" s="1"/>
  <c r="FD12" i="1"/>
  <c r="FL12" i="1"/>
  <c r="FC12" i="1"/>
  <c r="FD13" i="1"/>
  <c r="FC13" i="1" s="1"/>
  <c r="FL13" i="1"/>
  <c r="FD14" i="1"/>
  <c r="FC14" i="1" s="1"/>
  <c r="FL14" i="1"/>
  <c r="FD15" i="1"/>
  <c r="FL15" i="1"/>
  <c r="FC15" i="1" s="1"/>
  <c r="FL16" i="1"/>
  <c r="FC16" i="1" s="1"/>
  <c r="FD17" i="1"/>
  <c r="FC17" i="1" s="1"/>
  <c r="FL17" i="1"/>
  <c r="FD18" i="1"/>
  <c r="FL18" i="1"/>
  <c r="FC18" i="1" s="1"/>
  <c r="FD19" i="1"/>
  <c r="FL19" i="1"/>
  <c r="FC19" i="1"/>
  <c r="FD20" i="1"/>
  <c r="FC20" i="1" s="1"/>
  <c r="FL20" i="1"/>
  <c r="FD21" i="1"/>
  <c r="FC21" i="1" s="1"/>
  <c r="FL21" i="1"/>
  <c r="FD22" i="1"/>
  <c r="FL22" i="1"/>
  <c r="FC22" i="1" s="1"/>
  <c r="FD23" i="1"/>
  <c r="FL23" i="1"/>
  <c r="FC23" i="1"/>
  <c r="FD24" i="1"/>
  <c r="FC24" i="1" s="1"/>
  <c r="FL24" i="1"/>
  <c r="FD25" i="1"/>
  <c r="FC25" i="1" s="1"/>
  <c r="FL25" i="1"/>
  <c r="FD26" i="1"/>
  <c r="FL26" i="1"/>
  <c r="FC26" i="1" s="1"/>
  <c r="FD27" i="1"/>
  <c r="FL27" i="1"/>
  <c r="FC27" i="1"/>
  <c r="FD28" i="1"/>
  <c r="FC28" i="1" s="1"/>
  <c r="FL28" i="1"/>
  <c r="FD29" i="1"/>
  <c r="FC29" i="1" s="1"/>
  <c r="FL29" i="1"/>
  <c r="FD30" i="1"/>
  <c r="FL30" i="1"/>
  <c r="FC30" i="1" s="1"/>
  <c r="FD31" i="1"/>
  <c r="FL31" i="1"/>
  <c r="FC31" i="1"/>
  <c r="FD32" i="1"/>
  <c r="FC32" i="1" s="1"/>
  <c r="FL32" i="1"/>
  <c r="FD33" i="1"/>
  <c r="FC33" i="1" s="1"/>
  <c r="FL33" i="1"/>
  <c r="FD34" i="1"/>
  <c r="FL34" i="1"/>
  <c r="FC34" i="1" s="1"/>
  <c r="FD35" i="1"/>
  <c r="FL35" i="1"/>
  <c r="FC35" i="1"/>
  <c r="FD36" i="1"/>
  <c r="FC36" i="1" s="1"/>
  <c r="FL36" i="1"/>
  <c r="FD37" i="1"/>
  <c r="FC37" i="1" s="1"/>
  <c r="FL37" i="1"/>
  <c r="FD38" i="1"/>
  <c r="FL38" i="1"/>
  <c r="FC38" i="1" s="1"/>
  <c r="FD39" i="1"/>
  <c r="FL39" i="1"/>
  <c r="FC39" i="1"/>
  <c r="FD40" i="1"/>
  <c r="FC40" i="1" s="1"/>
  <c r="FL40" i="1"/>
  <c r="FD41" i="1"/>
  <c r="FC41" i="1" s="1"/>
  <c r="FL41" i="1"/>
  <c r="FD42" i="1"/>
  <c r="FL42" i="1"/>
  <c r="FC42" i="1" s="1"/>
  <c r="FD43" i="1"/>
  <c r="FL43" i="1"/>
  <c r="FC43" i="1"/>
  <c r="FD44" i="1"/>
  <c r="FC44" i="1" s="1"/>
  <c r="FL44" i="1"/>
  <c r="FD45" i="1"/>
  <c r="FC45" i="1" s="1"/>
  <c r="FL45" i="1"/>
  <c r="FD46" i="1"/>
  <c r="FL46" i="1"/>
  <c r="FC46" i="1" s="1"/>
  <c r="FD47" i="1"/>
  <c r="FL47" i="1"/>
  <c r="FC47" i="1"/>
  <c r="FL49" i="1"/>
  <c r="FC49" i="1"/>
  <c r="FD50" i="1"/>
  <c r="FL50" i="1"/>
  <c r="FC50" i="1" s="1"/>
  <c r="FD51" i="1"/>
  <c r="FL51" i="1"/>
  <c r="FC51" i="1"/>
  <c r="FD52" i="1"/>
  <c r="FC52" i="1" s="1"/>
  <c r="FL52" i="1"/>
  <c r="FD53" i="1"/>
  <c r="FC53" i="1" s="1"/>
  <c r="FL53" i="1"/>
  <c r="FD54" i="1"/>
  <c r="FL54" i="1"/>
  <c r="FC54" i="1" s="1"/>
  <c r="FD55" i="1"/>
  <c r="FL55" i="1"/>
  <c r="FC55" i="1"/>
  <c r="FD56" i="1"/>
  <c r="FC56" i="1" s="1"/>
  <c r="FL56" i="1"/>
  <c r="FD57" i="1"/>
  <c r="FC57" i="1" s="1"/>
  <c r="FL57" i="1"/>
  <c r="FD58" i="1"/>
  <c r="FL58" i="1"/>
  <c r="FC58" i="1" s="1"/>
  <c r="FD59" i="1"/>
  <c r="FL59" i="1"/>
  <c r="FC59" i="1"/>
  <c r="FD60" i="1"/>
  <c r="FC60" i="1" s="1"/>
  <c r="FL60" i="1"/>
  <c r="FD61" i="1"/>
  <c r="FC61" i="1" s="1"/>
  <c r="FL61" i="1"/>
  <c r="FD62" i="1"/>
  <c r="FL62" i="1"/>
  <c r="FC62" i="1" s="1"/>
  <c r="FD63" i="1"/>
  <c r="FL63" i="1"/>
  <c r="FC63" i="1"/>
  <c r="FL64" i="1"/>
  <c r="FC64" i="1"/>
  <c r="FD65" i="1"/>
  <c r="FL65" i="1"/>
  <c r="FC65" i="1" s="1"/>
  <c r="FD66" i="1"/>
  <c r="FL66" i="1"/>
  <c r="FC66" i="1"/>
  <c r="FD67" i="1"/>
  <c r="FC67" i="1" s="1"/>
  <c r="FL67" i="1"/>
  <c r="FD68" i="1"/>
  <c r="FC68" i="1" s="1"/>
  <c r="FL68" i="1"/>
  <c r="FD69" i="1"/>
  <c r="FL69" i="1"/>
  <c r="FC69" i="1" s="1"/>
  <c r="FD70" i="1"/>
  <c r="FL70" i="1"/>
  <c r="FC70" i="1"/>
  <c r="FD71" i="1"/>
  <c r="FC71" i="1" s="1"/>
  <c r="FL71" i="1"/>
  <c r="FD72" i="1"/>
  <c r="FC72" i="1" s="1"/>
  <c r="FL72" i="1"/>
  <c r="FD73" i="1"/>
  <c r="FL73" i="1"/>
  <c r="FC73" i="1" s="1"/>
  <c r="FD74" i="1"/>
  <c r="FL74" i="1"/>
  <c r="FC74" i="1"/>
  <c r="FD75" i="1"/>
  <c r="FC75" i="1" s="1"/>
  <c r="FL75" i="1"/>
  <c r="FD76" i="1"/>
  <c r="FC76" i="1" s="1"/>
  <c r="FL76" i="1"/>
  <c r="FD77" i="1"/>
  <c r="FL77" i="1"/>
  <c r="FC77" i="1" s="1"/>
  <c r="FD78" i="1"/>
  <c r="FL78" i="1"/>
  <c r="FC78" i="1"/>
  <c r="FD79" i="1"/>
  <c r="FC79" i="1" s="1"/>
  <c r="FL79" i="1"/>
  <c r="FD80" i="1"/>
  <c r="FC80" i="1" s="1"/>
  <c r="FL80" i="1"/>
  <c r="FD81" i="1"/>
  <c r="FL81" i="1"/>
  <c r="FC81" i="1" s="1"/>
  <c r="FD82" i="1"/>
  <c r="FL82" i="1"/>
  <c r="FC82" i="1"/>
  <c r="FD83" i="1"/>
  <c r="FC83" i="1" s="1"/>
  <c r="FL83" i="1"/>
  <c r="FD84" i="1"/>
  <c r="FC84" i="1" s="1"/>
  <c r="FL84" i="1"/>
  <c r="FL85" i="1"/>
  <c r="FC85" i="1"/>
  <c r="FD86" i="1"/>
  <c r="FC86" i="1" s="1"/>
  <c r="FL86" i="1"/>
  <c r="FD87" i="1"/>
  <c r="FC87" i="1" s="1"/>
  <c r="FL87" i="1"/>
  <c r="FD88" i="1"/>
  <c r="FL88" i="1"/>
  <c r="FC88" i="1" s="1"/>
  <c r="FD89" i="1"/>
  <c r="FL89" i="1"/>
  <c r="FC89" i="1"/>
  <c r="FD90" i="1"/>
  <c r="FC90" i="1" s="1"/>
  <c r="FL90" i="1"/>
  <c r="FD91" i="1"/>
  <c r="FC91" i="1" s="1"/>
  <c r="FL91" i="1"/>
  <c r="FD92" i="1"/>
  <c r="FL92" i="1"/>
  <c r="FC92" i="1" s="1"/>
  <c r="FD93" i="1"/>
  <c r="FL93" i="1"/>
  <c r="FC93" i="1"/>
  <c r="FD94" i="1"/>
  <c r="FC94" i="1" s="1"/>
  <c r="FL94" i="1"/>
  <c r="FD95" i="1"/>
  <c r="FC95" i="1" s="1"/>
  <c r="FL95" i="1"/>
  <c r="FD96" i="1"/>
  <c r="FL96" i="1"/>
  <c r="FC96" i="1" s="1"/>
  <c r="FD97" i="1"/>
  <c r="FL97" i="1"/>
  <c r="FC97" i="1"/>
  <c r="FL98" i="1"/>
  <c r="FC98" i="1" s="1"/>
  <c r="FL99" i="1"/>
  <c r="FC99" i="1"/>
  <c r="FL100" i="1"/>
  <c r="FC100" i="1" s="1"/>
  <c r="FD101" i="1"/>
  <c r="FL101" i="1"/>
  <c r="FC101" i="1" s="1"/>
  <c r="FD102" i="1"/>
  <c r="FL102" i="1"/>
  <c r="FC102" i="1"/>
  <c r="FD103" i="1"/>
  <c r="FC103" i="1" s="1"/>
  <c r="FL103" i="1"/>
  <c r="FD104" i="1"/>
  <c r="FC104" i="1" s="1"/>
  <c r="FL104" i="1"/>
  <c r="FD105" i="1"/>
  <c r="FL105" i="1"/>
  <c r="FC105" i="1" s="1"/>
  <c r="FD106" i="1"/>
  <c r="FL106" i="1"/>
  <c r="FC106" i="1"/>
  <c r="FE3" i="1"/>
  <c r="FE4" i="1"/>
  <c r="FG4" i="1" s="1"/>
  <c r="FE5" i="1"/>
  <c r="FE6" i="1"/>
  <c r="FE7" i="1"/>
  <c r="FE8" i="1"/>
  <c r="FG8" i="1" s="1"/>
  <c r="FE9" i="1"/>
  <c r="FE10" i="1"/>
  <c r="FE11" i="1"/>
  <c r="FE12" i="1"/>
  <c r="FG12" i="1" s="1"/>
  <c r="FE13" i="1"/>
  <c r="FE14" i="1"/>
  <c r="FE15" i="1"/>
  <c r="FE17" i="1"/>
  <c r="FF17" i="1" s="1"/>
  <c r="FE18" i="1"/>
  <c r="FE19" i="1"/>
  <c r="FE20" i="1"/>
  <c r="FE21" i="1"/>
  <c r="FF21" i="1" s="1"/>
  <c r="FE22" i="1"/>
  <c r="FE23" i="1"/>
  <c r="FE24" i="1"/>
  <c r="FE25" i="1"/>
  <c r="FF25" i="1" s="1"/>
  <c r="FE26" i="1"/>
  <c r="FE27" i="1"/>
  <c r="FE28" i="1"/>
  <c r="FE29" i="1"/>
  <c r="FF29" i="1" s="1"/>
  <c r="FE30" i="1"/>
  <c r="FE31" i="1"/>
  <c r="FE32" i="1"/>
  <c r="FE33" i="1"/>
  <c r="FF33" i="1" s="1"/>
  <c r="FE34" i="1"/>
  <c r="FE35" i="1"/>
  <c r="FE36" i="1"/>
  <c r="FE37" i="1"/>
  <c r="FF37" i="1" s="1"/>
  <c r="FE38" i="1"/>
  <c r="FE39" i="1"/>
  <c r="FE40" i="1"/>
  <c r="FE41" i="1"/>
  <c r="FF41" i="1" s="1"/>
  <c r="FE42" i="1"/>
  <c r="FE43" i="1"/>
  <c r="FE44" i="1"/>
  <c r="FE45" i="1"/>
  <c r="FF45" i="1" s="1"/>
  <c r="FE46" i="1"/>
  <c r="FE47" i="1"/>
  <c r="FE50" i="1"/>
  <c r="FE51" i="1"/>
  <c r="FF51" i="1" s="1"/>
  <c r="FE52" i="1"/>
  <c r="FE53" i="1"/>
  <c r="FE54" i="1"/>
  <c r="FE55" i="1"/>
  <c r="FF55" i="1" s="1"/>
  <c r="FE56" i="1"/>
  <c r="FE57" i="1"/>
  <c r="FE58" i="1"/>
  <c r="FE59" i="1"/>
  <c r="FF59" i="1" s="1"/>
  <c r="FE60" i="1"/>
  <c r="FE61" i="1"/>
  <c r="FE62" i="1"/>
  <c r="FE63" i="1"/>
  <c r="FF63" i="1" s="1"/>
  <c r="FE65" i="1"/>
  <c r="FE66" i="1"/>
  <c r="FE67" i="1"/>
  <c r="FE68" i="1"/>
  <c r="FG68" i="1" s="1"/>
  <c r="FE69" i="1"/>
  <c r="FE70" i="1"/>
  <c r="FE71" i="1"/>
  <c r="FE72" i="1"/>
  <c r="FG72" i="1" s="1"/>
  <c r="FE73" i="1"/>
  <c r="FE74" i="1"/>
  <c r="FE75" i="1"/>
  <c r="FE76" i="1"/>
  <c r="FG76" i="1" s="1"/>
  <c r="FE77" i="1"/>
  <c r="FE78" i="1"/>
  <c r="FE79" i="1"/>
  <c r="FE80" i="1"/>
  <c r="FG80" i="1" s="1"/>
  <c r="FE81" i="1"/>
  <c r="FE82" i="1"/>
  <c r="FE83" i="1"/>
  <c r="FE84" i="1"/>
  <c r="FG84" i="1" s="1"/>
  <c r="FE86" i="1"/>
  <c r="FE87" i="1"/>
  <c r="FE88" i="1"/>
  <c r="FE89" i="1"/>
  <c r="FF89" i="1" s="1"/>
  <c r="FE90" i="1"/>
  <c r="FE91" i="1"/>
  <c r="FE92" i="1"/>
  <c r="FE93" i="1"/>
  <c r="FF93" i="1" s="1"/>
  <c r="FE94" i="1"/>
  <c r="FE95" i="1"/>
  <c r="FE96" i="1"/>
  <c r="FE97" i="1"/>
  <c r="FF97" i="1" s="1"/>
  <c r="FE101" i="1"/>
  <c r="FE102" i="1"/>
  <c r="FE103" i="1"/>
  <c r="FE104" i="1"/>
  <c r="FG104" i="1" s="1"/>
  <c r="FE105" i="1"/>
  <c r="FE106" i="1"/>
  <c r="FG3" i="1"/>
  <c r="FF3" i="1" s="1"/>
  <c r="FG5" i="1"/>
  <c r="FF5" i="1" s="1"/>
  <c r="FG6" i="1"/>
  <c r="FF6" i="1" s="1"/>
  <c r="FG7" i="1"/>
  <c r="FF7" i="1" s="1"/>
  <c r="FG9" i="1"/>
  <c r="FF9" i="1" s="1"/>
  <c r="FG10" i="1"/>
  <c r="FF10" i="1" s="1"/>
  <c r="FG11" i="1"/>
  <c r="FF11" i="1" s="1"/>
  <c r="FG13" i="1"/>
  <c r="FF13" i="1" s="1"/>
  <c r="FG14" i="1"/>
  <c r="FF14" i="1" s="1"/>
  <c r="FG15" i="1"/>
  <c r="FF15" i="1" s="1"/>
  <c r="FG16" i="1"/>
  <c r="FF16" i="1" s="1"/>
  <c r="FG17" i="1"/>
  <c r="FG18" i="1"/>
  <c r="FF18" i="1" s="1"/>
  <c r="FG19" i="1"/>
  <c r="FF19" i="1" s="1"/>
  <c r="FG20" i="1"/>
  <c r="FF20" i="1" s="1"/>
  <c r="FG21" i="1"/>
  <c r="FG22" i="1"/>
  <c r="FF22" i="1" s="1"/>
  <c r="FG23" i="1"/>
  <c r="FF23" i="1" s="1"/>
  <c r="FG24" i="1"/>
  <c r="FF24" i="1" s="1"/>
  <c r="FG25" i="1"/>
  <c r="FG26" i="1"/>
  <c r="FF26" i="1" s="1"/>
  <c r="FG27" i="1"/>
  <c r="FF27" i="1" s="1"/>
  <c r="FG28" i="1"/>
  <c r="FF28" i="1" s="1"/>
  <c r="FG29" i="1"/>
  <c r="FG30" i="1"/>
  <c r="FF30" i="1" s="1"/>
  <c r="FG31" i="1"/>
  <c r="FF31" i="1" s="1"/>
  <c r="FG32" i="1"/>
  <c r="FF32" i="1" s="1"/>
  <c r="FG33" i="1"/>
  <c r="FG34" i="1"/>
  <c r="FF34" i="1" s="1"/>
  <c r="FG35" i="1"/>
  <c r="FF35" i="1" s="1"/>
  <c r="FG36" i="1"/>
  <c r="FF36" i="1" s="1"/>
  <c r="FG37" i="1"/>
  <c r="FG38" i="1"/>
  <c r="FF38" i="1" s="1"/>
  <c r="FG39" i="1"/>
  <c r="FF39" i="1" s="1"/>
  <c r="FG40" i="1"/>
  <c r="FF40" i="1" s="1"/>
  <c r="FG41" i="1"/>
  <c r="FG42" i="1"/>
  <c r="FF42" i="1" s="1"/>
  <c r="FG43" i="1"/>
  <c r="FF43" i="1" s="1"/>
  <c r="FG44" i="1"/>
  <c r="FF44" i="1" s="1"/>
  <c r="FG45" i="1"/>
  <c r="FG46" i="1"/>
  <c r="FF46" i="1" s="1"/>
  <c r="FG47" i="1"/>
  <c r="FF47" i="1" s="1"/>
  <c r="FG48" i="1"/>
  <c r="FF48" i="1" s="1"/>
  <c r="FG49" i="1"/>
  <c r="FF49" i="1" s="1"/>
  <c r="FG50" i="1"/>
  <c r="FF50" i="1" s="1"/>
  <c r="FG51" i="1"/>
  <c r="FG52" i="1"/>
  <c r="FF52" i="1" s="1"/>
  <c r="FG53" i="1"/>
  <c r="FF53" i="1" s="1"/>
  <c r="FG54" i="1"/>
  <c r="FF54" i="1" s="1"/>
  <c r="FG55" i="1"/>
  <c r="FG56" i="1"/>
  <c r="FF56" i="1" s="1"/>
  <c r="FG57" i="1"/>
  <c r="FF57" i="1" s="1"/>
  <c r="FG58" i="1"/>
  <c r="FF58" i="1" s="1"/>
  <c r="FG59" i="1"/>
  <c r="FG60" i="1"/>
  <c r="FF60" i="1" s="1"/>
  <c r="FG61" i="1"/>
  <c r="FF61" i="1" s="1"/>
  <c r="FG62" i="1"/>
  <c r="FF62" i="1" s="1"/>
  <c r="FG63" i="1"/>
  <c r="FG64" i="1"/>
  <c r="FF64" i="1" s="1"/>
  <c r="FG65" i="1"/>
  <c r="FF65" i="1" s="1"/>
  <c r="FG66" i="1"/>
  <c r="FF66" i="1" s="1"/>
  <c r="FG67" i="1"/>
  <c r="FF67" i="1" s="1"/>
  <c r="FG69" i="1"/>
  <c r="FF69" i="1" s="1"/>
  <c r="FG70" i="1"/>
  <c r="FF70" i="1" s="1"/>
  <c r="FG71" i="1"/>
  <c r="FF71" i="1" s="1"/>
  <c r="FG73" i="1"/>
  <c r="FF73" i="1" s="1"/>
  <c r="FG74" i="1"/>
  <c r="FF74" i="1" s="1"/>
  <c r="FG75" i="1"/>
  <c r="FF75" i="1" s="1"/>
  <c r="FG77" i="1"/>
  <c r="FF77" i="1" s="1"/>
  <c r="FG78" i="1"/>
  <c r="FF78" i="1" s="1"/>
  <c r="FG79" i="1"/>
  <c r="FF79" i="1" s="1"/>
  <c r="FG81" i="1"/>
  <c r="FF81" i="1" s="1"/>
  <c r="FG82" i="1"/>
  <c r="FF82" i="1" s="1"/>
  <c r="FG83" i="1"/>
  <c r="FF83" i="1" s="1"/>
  <c r="FG85" i="1"/>
  <c r="FF85" i="1" s="1"/>
  <c r="FG86" i="1"/>
  <c r="FF86" i="1" s="1"/>
  <c r="FG87" i="1"/>
  <c r="FF87" i="1" s="1"/>
  <c r="FG88" i="1"/>
  <c r="FF88" i="1" s="1"/>
  <c r="FG89" i="1"/>
  <c r="FG90" i="1"/>
  <c r="FF90" i="1" s="1"/>
  <c r="FG91" i="1"/>
  <c r="FF91" i="1" s="1"/>
  <c r="FG92" i="1"/>
  <c r="FF92" i="1" s="1"/>
  <c r="FG93" i="1"/>
  <c r="FG94" i="1"/>
  <c r="FF94" i="1" s="1"/>
  <c r="FG95" i="1"/>
  <c r="FF95" i="1" s="1"/>
  <c r="FG96" i="1"/>
  <c r="FF96" i="1" s="1"/>
  <c r="FG97" i="1"/>
  <c r="FG98" i="1"/>
  <c r="FF98" i="1" s="1"/>
  <c r="FG99" i="1"/>
  <c r="FF99" i="1" s="1"/>
  <c r="FG100" i="1"/>
  <c r="FF100" i="1" s="1"/>
  <c r="FG101" i="1"/>
  <c r="FF101" i="1" s="1"/>
  <c r="FG102" i="1"/>
  <c r="FF102" i="1" s="1"/>
  <c r="FG103" i="1"/>
  <c r="FF103" i="1" s="1"/>
  <c r="FG105" i="1"/>
  <c r="FF105" i="1" s="1"/>
  <c r="FG106" i="1"/>
  <c r="FF106" i="1" s="1"/>
  <c r="C108" i="1"/>
  <c r="FL48" i="1"/>
  <c r="FC108" i="1" l="1"/>
  <c r="DS108" i="1"/>
  <c r="AS108" i="1"/>
  <c r="AS102" i="1"/>
  <c r="AV109" i="1"/>
  <c r="AV108" i="1"/>
  <c r="CC108" i="1"/>
  <c r="FF104" i="1"/>
  <c r="FF84" i="1"/>
  <c r="FF80" i="1"/>
  <c r="FF76" i="1"/>
  <c r="FF72" i="1"/>
  <c r="FF68" i="1"/>
  <c r="FF12" i="1"/>
  <c r="FF8" i="1"/>
  <c r="FF4" i="1"/>
  <c r="FE108" i="1"/>
  <c r="CY108" i="1"/>
  <c r="FD108" i="1"/>
  <c r="AH108" i="1"/>
  <c r="V108" i="1"/>
  <c r="Q109" i="1"/>
  <c r="Q108" i="1"/>
  <c r="AL108" i="1"/>
  <c r="AM74" i="1"/>
  <c r="AM70" i="1"/>
  <c r="AM66" i="1"/>
  <c r="AM62" i="1"/>
  <c r="AM58" i="1"/>
  <c r="AM54" i="1"/>
  <c r="AM50" i="1"/>
  <c r="AM46" i="1"/>
  <c r="AM42" i="1"/>
  <c r="AM38" i="1"/>
  <c r="AM108" i="1" s="1"/>
  <c r="AM34" i="1"/>
  <c r="AM30" i="1"/>
  <c r="Y108" i="1"/>
  <c r="N108" i="1"/>
  <c r="W108" i="1"/>
  <c r="BZ2" i="1"/>
  <c r="BT2" i="1"/>
  <c r="L108" i="1"/>
  <c r="EC106" i="1"/>
  <c r="ED106" i="1" s="1"/>
  <c r="EC101" i="1"/>
  <c r="ED101" i="1" s="1"/>
  <c r="EC92" i="1"/>
  <c r="ED92" i="1" s="1"/>
  <c r="FG2" i="1"/>
  <c r="FD109" i="1"/>
  <c r="DK109" i="1"/>
  <c r="DG2" i="1"/>
  <c r="BF2" i="1"/>
  <c r="AA108" i="1"/>
  <c r="O5" i="1"/>
  <c r="EC104" i="1"/>
  <c r="ED104" i="1" s="1"/>
  <c r="EC93" i="1"/>
  <c r="ED93" i="1" s="1"/>
  <c r="EC85" i="1"/>
  <c r="ED85" i="1" s="1"/>
  <c r="EC77" i="1"/>
  <c r="ED77" i="1" s="1"/>
  <c r="DH2" i="1"/>
  <c r="S2" i="1"/>
  <c r="O18" i="1"/>
  <c r="O14" i="1"/>
  <c r="O10" i="1"/>
  <c r="O6" i="1"/>
  <c r="O108" i="1" s="1"/>
  <c r="EE108" i="1"/>
  <c r="EC105" i="1"/>
  <c r="ED105" i="1" s="1"/>
  <c r="EC102" i="1"/>
  <c r="ED102" i="1" s="1"/>
  <c r="EC96" i="1"/>
  <c r="ED96" i="1" s="1"/>
  <c r="EC89" i="1"/>
  <c r="ED89" i="1" s="1"/>
  <c r="EF2" i="1"/>
  <c r="EE109" i="1"/>
  <c r="ED2" i="1"/>
  <c r="EC49" i="1"/>
  <c r="ED49" i="1" s="1"/>
  <c r="EC46" i="1"/>
  <c r="ED46" i="1" s="1"/>
  <c r="EC33" i="1"/>
  <c r="ED33" i="1" s="1"/>
  <c r="EC30" i="1"/>
  <c r="ED30" i="1" s="1"/>
  <c r="EC17" i="1"/>
  <c r="ED17" i="1" s="1"/>
  <c r="EC14" i="1"/>
  <c r="ED14" i="1" s="1"/>
  <c r="EC5" i="1"/>
  <c r="EA108" i="1"/>
  <c r="EA109" i="1"/>
  <c r="EB2" i="1"/>
  <c r="AZ108" i="1"/>
  <c r="EC74" i="1"/>
  <c r="ED74" i="1" s="1"/>
  <c r="EC73" i="1"/>
  <c r="ED73" i="1" s="1"/>
  <c r="EC62" i="1"/>
  <c r="ED62" i="1" s="1"/>
  <c r="EC61" i="1"/>
  <c r="ED61" i="1" s="1"/>
  <c r="EC56" i="1"/>
  <c r="ED56" i="1" s="1"/>
  <c r="EC53" i="1"/>
  <c r="ED53" i="1" s="1"/>
  <c r="EC50" i="1"/>
  <c r="ED50" i="1" s="1"/>
  <c r="EC40" i="1"/>
  <c r="ED40" i="1" s="1"/>
  <c r="EC37" i="1"/>
  <c r="ED37" i="1" s="1"/>
  <c r="EC34" i="1"/>
  <c r="ED34" i="1" s="1"/>
  <c r="EC24" i="1"/>
  <c r="ED24" i="1" s="1"/>
  <c r="EC21" i="1"/>
  <c r="ED21" i="1" s="1"/>
  <c r="EC18" i="1"/>
  <c r="ED18" i="1" s="1"/>
  <c r="EC6" i="1"/>
  <c r="ED6" i="1" s="1"/>
  <c r="EC107" i="1"/>
  <c r="ED107" i="1" s="1"/>
  <c r="EC54" i="1"/>
  <c r="ED54" i="1" s="1"/>
  <c r="EC44" i="1"/>
  <c r="ED44" i="1" s="1"/>
  <c r="EC38" i="1"/>
  <c r="ED38" i="1" s="1"/>
  <c r="EC28" i="1"/>
  <c r="ED28" i="1" s="1"/>
  <c r="EC25" i="1"/>
  <c r="ED25" i="1" s="1"/>
  <c r="EC12" i="1"/>
  <c r="ED12" i="1" s="1"/>
  <c r="DY108" i="1"/>
  <c r="DY109" i="1"/>
  <c r="CG108" i="1"/>
  <c r="DC109" i="1"/>
  <c r="CJ109" i="1"/>
  <c r="CK2" i="1"/>
  <c r="CL2" i="1"/>
  <c r="DC104" i="1"/>
  <c r="DC100" i="1"/>
  <c r="DC96" i="1"/>
  <c r="DC92" i="1"/>
  <c r="DC88" i="1"/>
  <c r="DC84" i="1"/>
  <c r="DC80" i="1"/>
  <c r="DC54" i="1"/>
  <c r="ER98" i="1"/>
  <c r="DC105" i="1"/>
  <c r="DC101" i="1"/>
  <c r="DC97" i="1"/>
  <c r="DC93" i="1"/>
  <c r="DC89" i="1"/>
  <c r="DC85" i="1"/>
  <c r="DC81" i="1"/>
  <c r="ER101" i="1"/>
  <c r="CL106" i="1"/>
  <c r="DW106" i="1" s="1"/>
  <c r="ER107" i="1"/>
  <c r="EQ109" i="1"/>
  <c r="EQ108" i="1"/>
  <c r="ER108" i="1" s="1"/>
  <c r="DC55" i="1"/>
  <c r="DC51" i="1"/>
  <c r="DC108" i="1" s="1"/>
  <c r="EK109" i="1"/>
  <c r="ER109" i="1" s="1"/>
  <c r="ER2" i="1"/>
  <c r="ER100" i="1"/>
  <c r="ER86" i="1"/>
  <c r="ER84" i="1"/>
  <c r="ER82" i="1"/>
  <c r="ER80" i="1"/>
  <c r="FB106" i="1"/>
  <c r="FB104" i="1"/>
  <c r="FB102" i="1"/>
  <c r="FB94" i="1"/>
  <c r="EY108" i="1"/>
  <c r="ER55" i="1"/>
  <c r="FB2" i="1"/>
  <c r="FA108" i="1"/>
  <c r="FA109" i="1"/>
  <c r="FB107" i="1"/>
  <c r="EV109" i="1"/>
  <c r="FB109" i="1" s="1"/>
  <c r="FB103" i="1"/>
  <c r="FB95" i="1"/>
  <c r="EN108" i="1"/>
  <c r="FB105" i="1"/>
  <c r="FB100" i="1"/>
  <c r="FB99" i="1"/>
  <c r="FB96" i="1"/>
  <c r="EV87" i="1"/>
  <c r="FB87" i="1" s="1"/>
  <c r="FB83" i="1"/>
  <c r="FB79" i="1"/>
  <c r="FB53" i="1"/>
  <c r="FB92" i="1"/>
  <c r="FB91" i="1"/>
  <c r="FB88" i="1"/>
  <c r="EV86" i="1"/>
  <c r="FB86" i="1" s="1"/>
  <c r="FB85" i="1"/>
  <c r="EV81" i="1"/>
  <c r="FB81" i="1" s="1"/>
  <c r="FB73" i="1"/>
  <c r="FB69" i="1"/>
  <c r="FB65" i="1"/>
  <c r="FB62" i="1"/>
  <c r="FB58" i="1"/>
  <c r="FB57" i="1"/>
  <c r="FB55" i="1"/>
  <c r="FB52" i="1"/>
  <c r="FB89" i="1"/>
  <c r="FB77" i="1"/>
  <c r="FB76" i="1"/>
  <c r="FB72" i="1"/>
  <c r="FB68" i="1"/>
  <c r="FB56" i="1"/>
  <c r="FB54" i="1"/>
  <c r="FB49" i="1"/>
  <c r="FB38" i="1"/>
  <c r="FB22" i="1"/>
  <c r="FB7" i="1"/>
  <c r="FB48" i="1"/>
  <c r="FB45" i="1"/>
  <c r="FB42" i="1"/>
  <c r="EV35" i="1"/>
  <c r="FB35" i="1" s="1"/>
  <c r="FB32" i="1"/>
  <c r="FB26" i="1"/>
  <c r="FB11" i="1"/>
  <c r="FB46" i="1"/>
  <c r="EV39" i="1"/>
  <c r="FB39" i="1" s="1"/>
  <c r="EV36" i="1"/>
  <c r="FB36" i="1" s="1"/>
  <c r="FB33" i="1"/>
  <c r="FB30" i="1"/>
  <c r="EV23" i="1"/>
  <c r="FB23" i="1" s="1"/>
  <c r="EV20" i="1"/>
  <c r="FB20" i="1" s="1"/>
  <c r="FB17" i="1"/>
  <c r="FB16" i="1"/>
  <c r="FB15" i="1"/>
  <c r="EV8" i="1"/>
  <c r="FB8" i="1" s="1"/>
  <c r="EV5" i="1"/>
  <c r="FB5" i="1" s="1"/>
  <c r="EV50" i="1"/>
  <c r="FB50" i="1" s="1"/>
  <c r="FB47" i="1"/>
  <c r="EV43" i="1"/>
  <c r="FB43" i="1" s="1"/>
  <c r="EV40" i="1"/>
  <c r="FB40" i="1" s="1"/>
  <c r="FB37" i="1"/>
  <c r="FB34" i="1"/>
  <c r="EV27" i="1"/>
  <c r="FB27" i="1" s="1"/>
  <c r="EV24" i="1"/>
  <c r="FB24" i="1" s="1"/>
  <c r="FB21" i="1"/>
  <c r="FB18" i="1"/>
  <c r="EV12" i="1"/>
  <c r="FB12" i="1" s="1"/>
  <c r="EV9" i="1"/>
  <c r="FB9" i="1" s="1"/>
  <c r="FB6" i="1"/>
  <c r="EV3" i="1"/>
  <c r="ED5" i="1" l="1"/>
  <c r="EC108" i="1"/>
  <c r="ED109" i="1"/>
  <c r="ED108" i="1"/>
  <c r="S109" i="1"/>
  <c r="S108" i="1"/>
  <c r="BF109" i="1"/>
  <c r="BF108" i="1"/>
  <c r="FF2" i="1"/>
  <c r="FG109" i="1"/>
  <c r="FG108" i="1"/>
  <c r="FB3" i="1"/>
  <c r="EV108" i="1"/>
  <c r="FB108" i="1" s="1"/>
  <c r="EB109" i="1"/>
  <c r="EB108" i="1"/>
  <c r="DH109" i="1"/>
  <c r="DW2" i="1"/>
  <c r="DH108" i="1"/>
  <c r="DV2" i="1"/>
  <c r="DG109" i="1"/>
  <c r="DG108" i="1"/>
  <c r="BT109" i="1"/>
  <c r="BT108" i="1"/>
  <c r="CL109" i="1"/>
  <c r="CL108" i="1"/>
  <c r="EF109" i="1"/>
  <c r="EG2" i="1"/>
  <c r="EF108" i="1"/>
  <c r="BZ109" i="1"/>
  <c r="BZ108" i="1"/>
  <c r="CK109" i="1"/>
  <c r="CK108" i="1"/>
  <c r="EC109" i="1"/>
  <c r="EG109" i="1" l="1"/>
  <c r="EG108" i="1"/>
  <c r="DV109" i="1"/>
  <c r="DV108" i="1"/>
  <c r="DW109" i="1"/>
  <c r="DW108" i="1"/>
  <c r="FF109" i="1"/>
  <c r="FF108" i="1"/>
</calcChain>
</file>

<file path=xl/sharedStrings.xml><?xml version="1.0" encoding="utf-8"?>
<sst xmlns="http://schemas.openxmlformats.org/spreadsheetml/2006/main" count="382" uniqueCount="312">
  <si>
    <t>10FAIRFIELD</t>
  </si>
  <si>
    <t>30HARTFORD</t>
  </si>
  <si>
    <t>90NEW HAVEN</t>
  </si>
  <si>
    <t>50CUMBERLAND</t>
  </si>
  <si>
    <t>50BRISTOL</t>
  </si>
  <si>
    <t>90ESSEX</t>
  </si>
  <si>
    <t>130HAMPDEN</t>
  </si>
  <si>
    <t>170MIDDLESEX</t>
  </si>
  <si>
    <t>230PLYMOUTH</t>
  </si>
  <si>
    <t>250SUFFOLK</t>
  </si>
  <si>
    <t>270WORCESTER</t>
  </si>
  <si>
    <t>70PROVIDENCE</t>
  </si>
  <si>
    <t>30NEW CASTLE</t>
  </si>
  <si>
    <t>130ESSEX</t>
  </si>
  <si>
    <t>170HUDSON</t>
  </si>
  <si>
    <t>210MERCER</t>
  </si>
  <si>
    <t>10ALBANY</t>
  </si>
  <si>
    <t>290ERIE</t>
  </si>
  <si>
    <t>550MONROE</t>
  </si>
  <si>
    <t>630NIAGARA</t>
  </si>
  <si>
    <t>650ONEIDA</t>
  </si>
  <si>
    <t>670ONONDAGA</t>
  </si>
  <si>
    <t>New York City</t>
  </si>
  <si>
    <t>1190WESTCHESTER</t>
  </si>
  <si>
    <t>30ALLEGHENY</t>
  </si>
  <si>
    <t>110BERKS</t>
  </si>
  <si>
    <t>130BLAIR</t>
  </si>
  <si>
    <t>210CAMBRIA</t>
  </si>
  <si>
    <t>450DELAWARE</t>
  </si>
  <si>
    <t>490ERIE</t>
  </si>
  <si>
    <t>690LACKAWANNA</t>
  </si>
  <si>
    <t>790LUZERNE</t>
  </si>
  <si>
    <t>Allentown/Bethlehem</t>
  </si>
  <si>
    <t>1010PHILADELPHIA</t>
  </si>
  <si>
    <t>310COOK</t>
  </si>
  <si>
    <t>1670SANGAMON</t>
  </si>
  <si>
    <t>30ALLEN</t>
  </si>
  <si>
    <t>970MARION</t>
  </si>
  <si>
    <t>1410ST JOSEPH</t>
  </si>
  <si>
    <t>1630VANDERBURGH</t>
  </si>
  <si>
    <t>1670VIGO</t>
  </si>
  <si>
    <t>490GENESEE</t>
  </si>
  <si>
    <t>810KENT</t>
  </si>
  <si>
    <t>1250OAKLAND</t>
  </si>
  <si>
    <t>1450SAGINAW</t>
  </si>
  <si>
    <t>1630WAYNE</t>
  </si>
  <si>
    <t>230CLARK</t>
  </si>
  <si>
    <t>350CUYAHOGA</t>
  </si>
  <si>
    <t>490FRANKLIN</t>
  </si>
  <si>
    <t>610HAMILTON</t>
  </si>
  <si>
    <t>950LUCAS</t>
  </si>
  <si>
    <t>990MAHONING</t>
  </si>
  <si>
    <t>1130MONTGOMERY</t>
  </si>
  <si>
    <t>1510STARK</t>
  </si>
  <si>
    <t>1530SUMMIT</t>
  </si>
  <si>
    <t>250DANE</t>
  </si>
  <si>
    <t>590KENOSHA</t>
  </si>
  <si>
    <t>790MILWAUKEE</t>
  </si>
  <si>
    <t>1010RACINE</t>
  </si>
  <si>
    <t>1530POLK</t>
  </si>
  <si>
    <t>1930WOODBURY</t>
  </si>
  <si>
    <t>1730SEDGWICK</t>
  </si>
  <si>
    <t>1770SHAWNEE</t>
  </si>
  <si>
    <t>530HENNEPIN</t>
  </si>
  <si>
    <t>1230RAMSEY</t>
  </si>
  <si>
    <t>1370ST LOUIS</t>
  </si>
  <si>
    <t>Kansas City</t>
  </si>
  <si>
    <t>St. Louis</t>
  </si>
  <si>
    <t>550DOUGLAS</t>
  </si>
  <si>
    <t>Norfolk</t>
  </si>
  <si>
    <t>Richmond</t>
  </si>
  <si>
    <t>Roanoke</t>
  </si>
  <si>
    <t>730JEFFERSON</t>
  </si>
  <si>
    <t>970MOBILE</t>
  </si>
  <si>
    <t>250DADE</t>
  </si>
  <si>
    <t>310DUVAL</t>
  </si>
  <si>
    <t>Atlanta</t>
  </si>
  <si>
    <t>170CADDO</t>
  </si>
  <si>
    <t>710ORLEANS</t>
  </si>
  <si>
    <t>210BUNCOMBE</t>
  </si>
  <si>
    <t>670FORSYTH</t>
  </si>
  <si>
    <t>810GUILFORD</t>
  </si>
  <si>
    <t>1190MECKLENBURG</t>
  </si>
  <si>
    <t>190CHARLESTON</t>
  </si>
  <si>
    <t>290BEXAR</t>
  </si>
  <si>
    <t>1130DALLAS</t>
  </si>
  <si>
    <t>1410EL PASO</t>
  </si>
  <si>
    <t>2010HARRIS</t>
  </si>
  <si>
    <t>4390TARRANT</t>
  </si>
  <si>
    <t>1110JEFFERSON</t>
  </si>
  <si>
    <t>5100BALTIMORE CITY</t>
  </si>
  <si>
    <t>1430TULSA</t>
  </si>
  <si>
    <t>370DAVIDSON</t>
  </si>
  <si>
    <t>930KNOX</t>
  </si>
  <si>
    <t>1570SHELBY</t>
  </si>
  <si>
    <t>110CABELL</t>
  </si>
  <si>
    <t>310DENVER</t>
  </si>
  <si>
    <t>350SALT LAKE</t>
  </si>
  <si>
    <t>10ALAMEDA</t>
  </si>
  <si>
    <t>370LOS ANGELES</t>
  </si>
  <si>
    <t>670SACRAMENTO</t>
  </si>
  <si>
    <t>730SAN DIEGO</t>
  </si>
  <si>
    <t>750SAN FRANCISCO</t>
  </si>
  <si>
    <t>510MULTNOMAH</t>
  </si>
  <si>
    <t>330KING</t>
  </si>
  <si>
    <t>530PIERCE</t>
  </si>
  <si>
    <t>CT</t>
  </si>
  <si>
    <t>ME</t>
  </si>
  <si>
    <t>MA</t>
  </si>
  <si>
    <t>RI</t>
  </si>
  <si>
    <t>DE</t>
  </si>
  <si>
    <t>NJ</t>
  </si>
  <si>
    <t>NY</t>
  </si>
  <si>
    <t>PA</t>
  </si>
  <si>
    <t>IL</t>
  </si>
  <si>
    <t>IN</t>
  </si>
  <si>
    <t>MI</t>
  </si>
  <si>
    <t>OH</t>
  </si>
  <si>
    <t>WI</t>
  </si>
  <si>
    <t>IA</t>
  </si>
  <si>
    <t>KS</t>
  </si>
  <si>
    <t>MN</t>
  </si>
  <si>
    <t>MO</t>
  </si>
  <si>
    <t>NE</t>
  </si>
  <si>
    <t>VA</t>
  </si>
  <si>
    <t>AL</t>
  </si>
  <si>
    <t>FL</t>
  </si>
  <si>
    <t>GA</t>
  </si>
  <si>
    <t>LA</t>
  </si>
  <si>
    <t>NC</t>
  </si>
  <si>
    <t>SC</t>
  </si>
  <si>
    <t>TX</t>
  </si>
  <si>
    <t>KY</t>
  </si>
  <si>
    <t>MD</t>
  </si>
  <si>
    <t>OK</t>
  </si>
  <si>
    <t>TN</t>
  </si>
  <si>
    <t>WV</t>
  </si>
  <si>
    <t>CO</t>
  </si>
  <si>
    <t>UT</t>
  </si>
  <si>
    <t>CA</t>
  </si>
  <si>
    <t>OR</t>
  </si>
  <si>
    <t>WA</t>
  </si>
  <si>
    <t>1933 T</t>
  </si>
  <si>
    <t>1930 T</t>
  </si>
  <si>
    <t>1935 T</t>
  </si>
  <si>
    <t>1940 T</t>
  </si>
  <si>
    <t>1933 R</t>
  </si>
  <si>
    <t>1935 R</t>
  </si>
  <si>
    <t>1933 W</t>
  </si>
  <si>
    <t>1935 W</t>
  </si>
  <si>
    <t>1933 R per cap.</t>
  </si>
  <si>
    <t>1935 R per cap.</t>
  </si>
  <si>
    <t>1933 W per cap.</t>
  </si>
  <si>
    <t>1935 W per cap.</t>
  </si>
  <si>
    <t>1933 MPCfr index</t>
  </si>
  <si>
    <t>1935 MPCfr index</t>
  </si>
  <si>
    <t>1933 MPCfw index</t>
  </si>
  <si>
    <t>1935 MPCfw index</t>
  </si>
  <si>
    <t>State</t>
  </si>
  <si>
    <t>County/City</t>
  </si>
  <si>
    <t>1930 M workers</t>
  </si>
  <si>
    <t>1930 M wages</t>
  </si>
  <si>
    <t>1930 Mw</t>
  </si>
  <si>
    <t>1930 MPCm</t>
  </si>
  <si>
    <t>1930 Pop.</t>
  </si>
  <si>
    <t>1930 R workers</t>
  </si>
  <si>
    <t>1930 R</t>
  </si>
  <si>
    <t>1930 R wages</t>
  </si>
  <si>
    <t>1930 Rw</t>
  </si>
  <si>
    <t>1930 MPCr</t>
  </si>
  <si>
    <t>1930 M</t>
  </si>
  <si>
    <t>1930 W workers</t>
  </si>
  <si>
    <t>1930 W</t>
  </si>
  <si>
    <t>1930 W wages</t>
  </si>
  <si>
    <t>1930 Ww</t>
  </si>
  <si>
    <t>1930 MPCw</t>
  </si>
  <si>
    <t>1930 I</t>
  </si>
  <si>
    <t>1930 I per cap.</t>
  </si>
  <si>
    <t>1933 t</t>
  </si>
  <si>
    <t>1935 t</t>
  </si>
  <si>
    <t>1940 Pop.</t>
  </si>
  <si>
    <t>1940 M workers</t>
  </si>
  <si>
    <t>1940 M</t>
  </si>
  <si>
    <t>1940 M wages</t>
  </si>
  <si>
    <t>1940 Mw</t>
  </si>
  <si>
    <t>1940 MPCm</t>
  </si>
  <si>
    <t>1940 R workers</t>
  </si>
  <si>
    <t>1930 W per cap.</t>
  </si>
  <si>
    <t>1930 MPCfw index</t>
  </si>
  <si>
    <t>1933 Pop.</t>
  </si>
  <si>
    <t>1935 Pop.</t>
  </si>
  <si>
    <t>1930 MPCi index</t>
  </si>
  <si>
    <t>1940 R</t>
  </si>
  <si>
    <t>1940 R per cap.</t>
  </si>
  <si>
    <t>1930 R per cap.</t>
  </si>
  <si>
    <t>1930 MPCfr index</t>
  </si>
  <si>
    <t>1940 R wages</t>
  </si>
  <si>
    <t>1940 Rw</t>
  </si>
  <si>
    <t>1940 MPCr</t>
  </si>
  <si>
    <t>1940 MPCfr index</t>
  </si>
  <si>
    <t>Pop. Growth per year</t>
  </si>
  <si>
    <t>1935 R (1000s)</t>
  </si>
  <si>
    <t>1940 W workers</t>
  </si>
  <si>
    <t>1940 W</t>
  </si>
  <si>
    <t>1940 W per cap.</t>
  </si>
  <si>
    <t>1940 W wages</t>
  </si>
  <si>
    <t>1940 Ww</t>
  </si>
  <si>
    <t>1940 MPCw</t>
  </si>
  <si>
    <t>1935 W (1000s)</t>
  </si>
  <si>
    <t>1940 MPCfw index</t>
  </si>
  <si>
    <t>1930 MPCfm index</t>
  </si>
  <si>
    <t>1940 MPCfm index</t>
  </si>
  <si>
    <t>1930 M per cap.</t>
  </si>
  <si>
    <t>1940 M per cap.</t>
  </si>
  <si>
    <t>1930 t</t>
  </si>
  <si>
    <t>1940 t</t>
  </si>
  <si>
    <t>t Growth per year</t>
  </si>
  <si>
    <t>1940 I</t>
  </si>
  <si>
    <t>1940 I per cap.</t>
  </si>
  <si>
    <t>1940 MPCi index</t>
  </si>
  <si>
    <t>1930 I wages</t>
  </si>
  <si>
    <t>w avg. (Gw)</t>
  </si>
  <si>
    <t>MPC avg. (MPCg)</t>
  </si>
  <si>
    <t>1930 Y</t>
  </si>
  <si>
    <t>1935 Y</t>
  </si>
  <si>
    <t>1933 Y</t>
  </si>
  <si>
    <t>1940 Y</t>
  </si>
  <si>
    <t>1930 Y (1940 comp.)</t>
  </si>
  <si>
    <t>1940 Y (1930 comp.)</t>
  </si>
  <si>
    <t>1933 CW</t>
  </si>
  <si>
    <t>1935 CW</t>
  </si>
  <si>
    <t>1940 CW</t>
  </si>
  <si>
    <t>1933 AA</t>
  </si>
  <si>
    <t>1935 AA</t>
  </si>
  <si>
    <t>1930 Total R per cap.</t>
  </si>
  <si>
    <t>1933 Total R per cap.</t>
  </si>
  <si>
    <t>1935 Total R per cap.</t>
  </si>
  <si>
    <t>1940 Total R per cap.</t>
  </si>
  <si>
    <t>1930 Total W per cap.</t>
  </si>
  <si>
    <t>1933 Total W per cap.</t>
  </si>
  <si>
    <t>1935 Total W per cap.</t>
  </si>
  <si>
    <t>1940 Total W per cap.</t>
  </si>
  <si>
    <t>1930 Total M per cap.</t>
  </si>
  <si>
    <t>1940 Total M per cap.</t>
  </si>
  <si>
    <t>1930 Total I per cap.</t>
  </si>
  <si>
    <t>1940 Total I per cap.</t>
  </si>
  <si>
    <t>CW growth rate</t>
  </si>
  <si>
    <t>1933 Inflation</t>
  </si>
  <si>
    <t>1935 Inflation</t>
  </si>
  <si>
    <t>1940 Inflation</t>
  </si>
  <si>
    <t>1933 R (adjust.)</t>
  </si>
  <si>
    <t>1935 R (adjust.)</t>
  </si>
  <si>
    <t>1940 R (adjust.)</t>
  </si>
  <si>
    <t>1933 W (adjust.)</t>
  </si>
  <si>
    <t>1935 W (adjust.)</t>
  </si>
  <si>
    <t>1940 W (adjust.)</t>
  </si>
  <si>
    <t>1940 M (adjust.)</t>
  </si>
  <si>
    <t>1940 I (adjust.)</t>
  </si>
  <si>
    <t>1933 CW (adjust.)</t>
  </si>
  <si>
    <t>1935 CW (adjust.)</t>
  </si>
  <si>
    <t>1940 CW (adjust.)</t>
  </si>
  <si>
    <t>1933 AA (adjust.)</t>
  </si>
  <si>
    <t>1935 AA (adjust.)</t>
  </si>
  <si>
    <t>1940 AA (adjust.)</t>
  </si>
  <si>
    <t>1940 R wages (adjust.)</t>
  </si>
  <si>
    <t>1940 W wages (adjust.)</t>
  </si>
  <si>
    <t>1940 M wages (adjust.)</t>
  </si>
  <si>
    <t>Total wage growth rate</t>
  </si>
  <si>
    <t>1940 I wages (adjust.)</t>
  </si>
  <si>
    <t>T Growth per year</t>
  </si>
  <si>
    <t>1930 Gainfully Employed</t>
  </si>
  <si>
    <t>1940 Gainfully Employed</t>
  </si>
  <si>
    <t>1930 MPCe</t>
  </si>
  <si>
    <t>1940 MPCe</t>
  </si>
  <si>
    <t>1930 w</t>
  </si>
  <si>
    <t>1940 w</t>
  </si>
  <si>
    <t>1930 F per cap.</t>
  </si>
  <si>
    <t>1930 Total F per cap.</t>
  </si>
  <si>
    <t>1930 MPCf index</t>
  </si>
  <si>
    <t>1940 F per cap.</t>
  </si>
  <si>
    <t>1940 Total F per cap.</t>
  </si>
  <si>
    <t>1940 MPCf index</t>
  </si>
  <si>
    <t>mean</t>
  </si>
  <si>
    <t>std. dev.</t>
  </si>
  <si>
    <t>1933 CW per cap.</t>
  </si>
  <si>
    <t>1935 CW per cap.</t>
  </si>
  <si>
    <t>1940 CW per cap.</t>
  </si>
  <si>
    <t>1933 AA per cap.</t>
  </si>
  <si>
    <t>1935 AA per cap.</t>
  </si>
  <si>
    <t>1940 AA per cap.</t>
  </si>
  <si>
    <t>1930 R emp. %</t>
  </si>
  <si>
    <t>1940 R emp. %</t>
  </si>
  <si>
    <t>R emp. % change</t>
  </si>
  <si>
    <t>1930 W emp. %</t>
  </si>
  <si>
    <t>1940 W emp. %</t>
  </si>
  <si>
    <t>W emp. % change</t>
  </si>
  <si>
    <t>1930 M emp. %</t>
  </si>
  <si>
    <t>1940 M emp. %</t>
  </si>
  <si>
    <t>M emp. % change</t>
  </si>
  <si>
    <t>1930 Gainful Emp. %</t>
  </si>
  <si>
    <t>1940 Gainful Emp. %</t>
  </si>
  <si>
    <t>Gainful Emp. % change</t>
  </si>
  <si>
    <t>1930 Y per cap.</t>
  </si>
  <si>
    <t>1933 Y per cap.</t>
  </si>
  <si>
    <t>1935 Y per cap.</t>
  </si>
  <si>
    <t>1940 Y per cap.</t>
  </si>
  <si>
    <t>Y per cap. % change</t>
  </si>
  <si>
    <t>R per cap. % change</t>
  </si>
  <si>
    <t>W per cap. % change</t>
  </si>
  <si>
    <t>M per cap. % change</t>
  </si>
  <si>
    <t>Total CW per cap.</t>
  </si>
  <si>
    <t>Total AA per cap.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</si>
</sst>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00000"/>
  </numFmts>
  <fonts count="3">
    <font>
      <sz val="12"/>
      <color theme="1"/>
      <name val="Calibri"/>
      <family val="2"/>
      <scheme val="minor"/>
    </font>
    <font>
      <sz val="12"/>
      <name val="Calibri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ill="1"/>
    <xf numFmtId="164" fontId="0" fillId="0" borderId="0" xfId="0" applyNumberFormat="1"/>
    <xf numFmtId="0" fontId="1" fillId="0" borderId="0" xfId="0" applyFont="1" applyFill="1"/>
    <xf numFmtId="0" fontId="2" fillId="0" borderId="0" xfId="0" applyFont="1" applyFill="1"/>
    <xf numFmtId="0" fontId="1" fillId="0" borderId="0" xfId="0" applyFont="1"/>
    <xf numFmtId="1" fontId="0" fillId="0" borderId="0" xfId="0" applyNumberFormat="1" applyFill="1"/>
    <xf numFmtId="165" fontId="0" fillId="0" borderId="0" xfId="0" applyNumberFormat="1"/>
    <xf numFmtId="2" fontId="0" fillId="0" borderId="0" xfId="0" applyNumberFormat="1"/>
    <xf numFmtId="1" fontId="1" fillId="0" borderId="0" xfId="0" applyNumberFormat="1" applyFont="1" applyFill="1"/>
    <xf numFmtId="0" fontId="0" fillId="0" borderId="0" xfId="0" applyNumberFormat="1" applyFill="1"/>
    <xf numFmtId="0" fontId="0" fillId="0" borderId="0" xfId="0" applyNumberFormat="1"/>
    <xf numFmtId="0" fontId="0" fillId="0" borderId="0" xfId="0" applyNumberFormat="1" applyFill="1" applyProtection="1">
      <protection locked="0"/>
    </xf>
    <xf numFmtId="2" fontId="1" fillId="0" borderId="0" xfId="0" applyNumberFormat="1" applyFont="1" applyFill="1"/>
    <xf numFmtId="166" fontId="1" fillId="0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X109"/>
  <sheetViews>
    <sheetView tabSelected="1" workbookViewId="0">
      <pane xSplit="2" topLeftCell="C1" activePane="topRight" state="frozen"/>
      <selection pane="topRight" activeCell="D6" sqref="D6"/>
    </sheetView>
  </sheetViews>
  <sheetFormatPr baseColWidth="10" defaultRowHeight="16"/>
  <cols>
    <col min="2" max="2" width="18.6640625" style="1" customWidth="1"/>
    <col min="3" max="3" width="11" style="1" bestFit="1" customWidth="1"/>
    <col min="4" max="5" width="10.83203125" style="1"/>
    <col min="6" max="6" width="11" style="1" bestFit="1" customWidth="1"/>
    <col min="7" max="7" width="18.1640625" style="1" customWidth="1"/>
    <col min="8" max="10" width="12.33203125" style="1" customWidth="1"/>
    <col min="11" max="15" width="20.83203125" style="1" customWidth="1"/>
    <col min="16" max="19" width="10.5" style="1" customWidth="1"/>
    <col min="20" max="20" width="13.1640625" style="1" customWidth="1"/>
    <col min="21" max="21" width="17.6640625" style="1" customWidth="1"/>
    <col min="22" max="22" width="15" style="1" customWidth="1"/>
    <col min="23" max="23" width="13.33203125" style="1" customWidth="1"/>
    <col min="24" max="24" width="17.6640625" style="1" customWidth="1"/>
    <col min="25" max="25" width="15" style="1" customWidth="1"/>
    <col min="26" max="27" width="13.33203125" style="1" customWidth="1"/>
    <col min="28" max="28" width="11" style="1" bestFit="1" customWidth="1"/>
    <col min="29" max="29" width="13" style="1" customWidth="1"/>
    <col min="30" max="30" width="17.6640625" style="1" customWidth="1"/>
    <col min="31" max="31" width="11.83203125" style="1" customWidth="1"/>
    <col min="32" max="33" width="11" bestFit="1" customWidth="1"/>
    <col min="34" max="34" width="15.1640625" customWidth="1"/>
    <col min="35" max="35" width="13.1640625" customWidth="1"/>
    <col min="36" max="36" width="14.33203125" customWidth="1"/>
    <col min="37" max="37" width="13.6640625" customWidth="1"/>
    <col min="38" max="38" width="17.6640625" customWidth="1"/>
    <col min="39" max="39" width="15.1640625" customWidth="1"/>
    <col min="40" max="43" width="14.33203125" customWidth="1"/>
    <col min="44" max="44" width="17.6640625" customWidth="1"/>
    <col min="45" max="45" width="15.1640625" customWidth="1"/>
    <col min="46" max="47" width="13.33203125" style="1" customWidth="1"/>
    <col min="48" max="48" width="14.83203125" style="1" customWidth="1"/>
    <col min="49" max="49" width="11" style="1" bestFit="1" customWidth="1"/>
    <col min="50" max="50" width="14.33203125" style="1" customWidth="1"/>
    <col min="51" max="51" width="13.33203125" style="1" customWidth="1"/>
    <col min="52" max="52" width="16.83203125" style="1" customWidth="1"/>
    <col min="53" max="53" width="17.6640625" style="1" customWidth="1"/>
    <col min="54" max="54" width="11.6640625" style="1" customWidth="1"/>
    <col min="55" max="55" width="18.83203125" style="1" customWidth="1"/>
    <col min="56" max="57" width="13.33203125" style="1" customWidth="1"/>
    <col min="58" max="58" width="15.1640625" style="1" customWidth="1"/>
    <col min="59" max="60" width="13.83203125" style="1" customWidth="1"/>
    <col min="61" max="61" width="12.33203125" style="1" bestFit="1" customWidth="1"/>
    <col min="62" max="62" width="13.83203125" style="1" customWidth="1"/>
    <col min="63" max="63" width="18.1640625" style="1" customWidth="1"/>
    <col min="64" max="64" width="12.33203125" style="1" customWidth="1"/>
    <col min="65" max="66" width="13.6640625" customWidth="1"/>
    <col min="67" max="67" width="16" customWidth="1"/>
    <col min="68" max="68" width="13.6640625" customWidth="1"/>
    <col min="69" max="69" width="14.33203125" customWidth="1"/>
    <col min="70" max="70" width="14" customWidth="1"/>
    <col min="71" max="71" width="18.1640625" customWidth="1"/>
    <col min="72" max="72" width="15.83203125" customWidth="1"/>
    <col min="73" max="74" width="15" customWidth="1"/>
    <col min="75" max="75" width="14.33203125" customWidth="1"/>
    <col min="76" max="76" width="15" customWidth="1"/>
    <col min="77" max="77" width="18.1640625" customWidth="1"/>
    <col min="78" max="78" width="15.83203125" customWidth="1"/>
    <col min="79" max="80" width="14.1640625" style="1" customWidth="1"/>
    <col min="81" max="81" width="15.1640625" style="1" customWidth="1"/>
    <col min="82" max="82" width="12.1640625" style="1" bestFit="1" customWidth="1"/>
    <col min="83" max="83" width="14.33203125" style="1" customWidth="1"/>
    <col min="84" max="84" width="14.33203125" customWidth="1"/>
    <col min="85" max="85" width="17.5" customWidth="1"/>
    <col min="86" max="86" width="18.1640625" customWidth="1"/>
    <col min="87" max="87" width="12.5" style="1" customWidth="1"/>
    <col min="88" max="88" width="19.5" style="1" customWidth="1"/>
    <col min="89" max="91" width="15.83203125" customWidth="1"/>
    <col min="92" max="93" width="13.83203125" style="1" customWidth="1"/>
    <col min="94" max="94" width="13" style="1" customWidth="1"/>
    <col min="95" max="95" width="13.6640625" style="1" customWidth="1"/>
    <col min="96" max="96" width="18.1640625" style="1" customWidth="1"/>
    <col min="97" max="97" width="12.5" style="1" customWidth="1"/>
    <col min="98" max="99" width="11" bestFit="1" customWidth="1"/>
    <col min="100" max="100" width="16.1640625" customWidth="1"/>
    <col min="101" max="102" width="13.83203125" style="1" customWidth="1"/>
    <col min="103" max="103" width="15.1640625" style="1" customWidth="1"/>
    <col min="104" max="104" width="11.1640625" style="1" bestFit="1" customWidth="1"/>
    <col min="105" max="105" width="14.33203125" style="1" customWidth="1"/>
    <col min="106" max="106" width="13.6640625" style="1" customWidth="1"/>
    <col min="107" max="107" width="17.5" style="1" customWidth="1"/>
    <col min="108" max="108" width="18.1640625" style="1" customWidth="1"/>
    <col min="109" max="109" width="12.33203125" style="1" customWidth="1"/>
    <col min="110" max="110" width="19.5" style="1" customWidth="1"/>
    <col min="111" max="111" width="10.83203125" customWidth="1"/>
    <col min="112" max="112" width="11" bestFit="1" customWidth="1"/>
    <col min="113" max="113" width="16" customWidth="1"/>
    <col min="114" max="114" width="10" style="1" customWidth="1"/>
    <col min="115" max="115" width="13.1640625" customWidth="1"/>
    <col min="116" max="116" width="17.6640625" customWidth="1"/>
    <col min="117" max="117" width="12.33203125" style="1" customWidth="1"/>
    <col min="118" max="118" width="14.33203125" customWidth="1"/>
    <col min="119" max="119" width="10" style="1" customWidth="1"/>
    <col min="120" max="120" width="14.33203125" style="1" customWidth="1"/>
    <col min="121" max="121" width="13.1640625" customWidth="1"/>
    <col min="122" max="122" width="17.6640625" customWidth="1"/>
    <col min="123" max="123" width="18.33203125" customWidth="1"/>
    <col min="124" max="124" width="14.33203125" customWidth="1"/>
    <col min="125" max="125" width="19.5" style="1" customWidth="1"/>
    <col min="126" max="126" width="14.33203125" style="1" customWidth="1"/>
    <col min="127" max="129" width="14.6640625" style="1" customWidth="1"/>
    <col min="130" max="130" width="17.33203125" style="1" customWidth="1"/>
    <col min="131" max="136" width="14.6640625" style="1" customWidth="1"/>
    <col min="137" max="137" width="16.6640625" style="1" customWidth="1"/>
    <col min="138" max="138" width="17.1640625" style="1" customWidth="1"/>
    <col min="139" max="155" width="15.1640625" style="1" customWidth="1"/>
    <col min="156" max="158" width="15.1640625" customWidth="1"/>
    <col min="159" max="159" width="11" style="1" customWidth="1"/>
    <col min="160" max="162" width="10.33203125" customWidth="1"/>
    <col min="163" max="163" width="15.5" customWidth="1"/>
    <col min="164" max="166" width="11" bestFit="1" customWidth="1"/>
    <col min="168" max="168" width="15.6640625" style="1" customWidth="1"/>
    <col min="171" max="171" width="20.6640625" style="1" customWidth="1"/>
    <col min="172" max="176" width="10.83203125" style="1"/>
    <col min="177" max="177" width="12.5" style="1" bestFit="1" customWidth="1"/>
    <col min="178" max="178" width="11.83203125" style="1" bestFit="1" customWidth="1"/>
    <col min="179" max="310" width="10.83203125" style="1"/>
  </cols>
  <sheetData>
    <row r="1" spans="1:168" s="1" customFormat="1">
      <c r="A1" s="1" t="s">
        <v>158</v>
      </c>
      <c r="B1" s="1" t="s">
        <v>159</v>
      </c>
      <c r="C1" s="1" t="s">
        <v>164</v>
      </c>
      <c r="D1" s="1" t="s">
        <v>189</v>
      </c>
      <c r="E1" s="1" t="s">
        <v>190</v>
      </c>
      <c r="F1" s="1" t="s">
        <v>180</v>
      </c>
      <c r="G1" s="1" t="s">
        <v>200</v>
      </c>
      <c r="H1" s="1" t="s">
        <v>247</v>
      </c>
      <c r="I1" s="1" t="s">
        <v>248</v>
      </c>
      <c r="J1" s="1" t="s">
        <v>249</v>
      </c>
      <c r="K1" s="1" t="s">
        <v>270</v>
      </c>
      <c r="L1" s="1" t="s">
        <v>299</v>
      </c>
      <c r="M1" s="1" t="s">
        <v>271</v>
      </c>
      <c r="N1" s="1" t="s">
        <v>300</v>
      </c>
      <c r="O1" s="1" t="s">
        <v>301</v>
      </c>
      <c r="P1" s="1" t="s">
        <v>272</v>
      </c>
      <c r="Q1" s="1" t="s">
        <v>273</v>
      </c>
      <c r="R1" s="1" t="s">
        <v>274</v>
      </c>
      <c r="S1" s="1" t="s">
        <v>275</v>
      </c>
      <c r="T1" s="1" t="s">
        <v>276</v>
      </c>
      <c r="U1" s="1" t="s">
        <v>277</v>
      </c>
      <c r="V1" s="1" t="s">
        <v>278</v>
      </c>
      <c r="W1" s="1" t="s">
        <v>279</v>
      </c>
      <c r="X1" s="1" t="s">
        <v>280</v>
      </c>
      <c r="Y1" s="1" t="s">
        <v>281</v>
      </c>
      <c r="Z1" s="1" t="s">
        <v>165</v>
      </c>
      <c r="AA1" s="1" t="s">
        <v>290</v>
      </c>
      <c r="AB1" s="1" t="s">
        <v>166</v>
      </c>
      <c r="AC1" s="1" t="s">
        <v>194</v>
      </c>
      <c r="AD1" s="1" t="s">
        <v>234</v>
      </c>
      <c r="AE1" s="1" t="s">
        <v>167</v>
      </c>
      <c r="AF1" s="1" t="s">
        <v>168</v>
      </c>
      <c r="AG1" s="1" t="s">
        <v>169</v>
      </c>
      <c r="AH1" s="1" t="s">
        <v>195</v>
      </c>
      <c r="AI1" s="1" t="s">
        <v>146</v>
      </c>
      <c r="AJ1" s="1" t="s">
        <v>250</v>
      </c>
      <c r="AK1" s="1" t="s">
        <v>150</v>
      </c>
      <c r="AL1" s="1" t="s">
        <v>235</v>
      </c>
      <c r="AM1" s="1" t="s">
        <v>154</v>
      </c>
      <c r="AN1" s="1" t="s">
        <v>201</v>
      </c>
      <c r="AO1" s="1" t="s">
        <v>147</v>
      </c>
      <c r="AP1" s="1" t="s">
        <v>251</v>
      </c>
      <c r="AQ1" s="1" t="s">
        <v>151</v>
      </c>
      <c r="AR1" s="1" t="s">
        <v>236</v>
      </c>
      <c r="AS1" s="1" t="s">
        <v>155</v>
      </c>
      <c r="AT1" s="1" t="s">
        <v>186</v>
      </c>
      <c r="AU1" s="1" t="s">
        <v>291</v>
      </c>
      <c r="AV1" s="1" t="s">
        <v>292</v>
      </c>
      <c r="AW1" s="1" t="s">
        <v>192</v>
      </c>
      <c r="AX1" s="1" t="s">
        <v>252</v>
      </c>
      <c r="AY1" s="1" t="s">
        <v>193</v>
      </c>
      <c r="AZ1" s="1" t="s">
        <v>307</v>
      </c>
      <c r="BA1" s="1" t="s">
        <v>237</v>
      </c>
      <c r="BB1" s="1" t="s">
        <v>196</v>
      </c>
      <c r="BC1" s="1" t="s">
        <v>264</v>
      </c>
      <c r="BD1" s="1" t="s">
        <v>197</v>
      </c>
      <c r="BE1" s="1" t="s">
        <v>198</v>
      </c>
      <c r="BF1" s="1" t="s">
        <v>199</v>
      </c>
      <c r="BG1" s="1" t="s">
        <v>171</v>
      </c>
      <c r="BH1" s="1" t="s">
        <v>293</v>
      </c>
      <c r="BI1" s="1" t="s">
        <v>172</v>
      </c>
      <c r="BJ1" s="1" t="s">
        <v>187</v>
      </c>
      <c r="BK1" s="1" t="s">
        <v>238</v>
      </c>
      <c r="BL1" s="1" t="s">
        <v>173</v>
      </c>
      <c r="BM1" s="1" t="s">
        <v>174</v>
      </c>
      <c r="BN1" s="1" t="s">
        <v>175</v>
      </c>
      <c r="BO1" s="1" t="s">
        <v>188</v>
      </c>
      <c r="BP1" s="1" t="s">
        <v>148</v>
      </c>
      <c r="BQ1" s="1" t="s">
        <v>253</v>
      </c>
      <c r="BR1" s="1" t="s">
        <v>152</v>
      </c>
      <c r="BS1" s="1" t="s">
        <v>239</v>
      </c>
      <c r="BT1" s="1" t="s">
        <v>156</v>
      </c>
      <c r="BU1" s="1" t="s">
        <v>208</v>
      </c>
      <c r="BV1" s="1" t="s">
        <v>149</v>
      </c>
      <c r="BW1" s="1" t="s">
        <v>254</v>
      </c>
      <c r="BX1" s="1" t="s">
        <v>153</v>
      </c>
      <c r="BY1" s="1" t="s">
        <v>240</v>
      </c>
      <c r="BZ1" s="1" t="s">
        <v>157</v>
      </c>
      <c r="CA1" s="1" t="s">
        <v>202</v>
      </c>
      <c r="CB1" s="1" t="s">
        <v>294</v>
      </c>
      <c r="CC1" s="1" t="s">
        <v>295</v>
      </c>
      <c r="CD1" s="1" t="s">
        <v>203</v>
      </c>
      <c r="CE1" s="1" t="s">
        <v>255</v>
      </c>
      <c r="CF1" s="1" t="s">
        <v>204</v>
      </c>
      <c r="CG1" s="1" t="s">
        <v>308</v>
      </c>
      <c r="CH1" s="1" t="s">
        <v>241</v>
      </c>
      <c r="CI1" s="1" t="s">
        <v>205</v>
      </c>
      <c r="CJ1" s="1" t="s">
        <v>265</v>
      </c>
      <c r="CK1" s="1" t="s">
        <v>206</v>
      </c>
      <c r="CL1" s="1" t="s">
        <v>207</v>
      </c>
      <c r="CM1" s="1" t="s">
        <v>209</v>
      </c>
      <c r="CN1" s="1" t="s">
        <v>160</v>
      </c>
      <c r="CO1" s="1" t="s">
        <v>296</v>
      </c>
      <c r="CP1" s="1" t="s">
        <v>170</v>
      </c>
      <c r="CQ1" s="1" t="s">
        <v>212</v>
      </c>
      <c r="CR1" s="1" t="s">
        <v>242</v>
      </c>
      <c r="CS1" s="1" t="s">
        <v>161</v>
      </c>
      <c r="CT1" s="1" t="s">
        <v>162</v>
      </c>
      <c r="CU1" s="1" t="s">
        <v>163</v>
      </c>
      <c r="CV1" s="1" t="s">
        <v>210</v>
      </c>
      <c r="CW1" s="1" t="s">
        <v>181</v>
      </c>
      <c r="CX1" s="1" t="s">
        <v>297</v>
      </c>
      <c r="CY1" s="1" t="s">
        <v>298</v>
      </c>
      <c r="CZ1" s="1" t="s">
        <v>182</v>
      </c>
      <c r="DA1" s="1" t="s">
        <v>256</v>
      </c>
      <c r="DB1" s="1" t="s">
        <v>213</v>
      </c>
      <c r="DC1" s="1" t="s">
        <v>309</v>
      </c>
      <c r="DD1" s="1" t="s">
        <v>243</v>
      </c>
      <c r="DE1" s="1" t="s">
        <v>183</v>
      </c>
      <c r="DF1" s="1" t="s">
        <v>266</v>
      </c>
      <c r="DG1" s="1" t="s">
        <v>184</v>
      </c>
      <c r="DH1" s="1" t="s">
        <v>185</v>
      </c>
      <c r="DI1" s="1" t="s">
        <v>211</v>
      </c>
      <c r="DJ1" s="1" t="s">
        <v>176</v>
      </c>
      <c r="DK1" s="1" t="s">
        <v>177</v>
      </c>
      <c r="DL1" s="1" t="s">
        <v>244</v>
      </c>
      <c r="DM1" s="1" t="s">
        <v>220</v>
      </c>
      <c r="DN1" s="1" t="s">
        <v>191</v>
      </c>
      <c r="DO1" s="1" t="s">
        <v>217</v>
      </c>
      <c r="DP1" s="1" t="s">
        <v>257</v>
      </c>
      <c r="DQ1" s="1" t="s">
        <v>218</v>
      </c>
      <c r="DR1" s="1" t="s">
        <v>245</v>
      </c>
      <c r="DS1" s="1" t="s">
        <v>268</v>
      </c>
      <c r="DT1" s="1" t="s">
        <v>219</v>
      </c>
      <c r="DU1" s="1" t="s">
        <v>267</v>
      </c>
      <c r="DV1" s="1" t="s">
        <v>221</v>
      </c>
      <c r="DW1" s="1" t="s">
        <v>222</v>
      </c>
      <c r="DX1" s="1" t="s">
        <v>223</v>
      </c>
      <c r="DY1" s="1" t="s">
        <v>302</v>
      </c>
      <c r="DZ1" s="1" t="s">
        <v>227</v>
      </c>
      <c r="EA1" s="1" t="s">
        <v>225</v>
      </c>
      <c r="EB1" s="1" t="s">
        <v>303</v>
      </c>
      <c r="EC1" s="1" t="s">
        <v>224</v>
      </c>
      <c r="ED1" s="1" t="s">
        <v>304</v>
      </c>
      <c r="EE1" s="1" t="s">
        <v>226</v>
      </c>
      <c r="EF1" s="1" t="s">
        <v>305</v>
      </c>
      <c r="EG1" s="1" t="s">
        <v>306</v>
      </c>
      <c r="EH1" s="1" t="s">
        <v>228</v>
      </c>
      <c r="EI1" s="1" t="s">
        <v>229</v>
      </c>
      <c r="EJ1" s="1" t="s">
        <v>258</v>
      </c>
      <c r="EK1" s="1" t="s">
        <v>284</v>
      </c>
      <c r="EL1" s="1" t="s">
        <v>230</v>
      </c>
      <c r="EM1" s="1" t="s">
        <v>259</v>
      </c>
      <c r="EN1" s="1" t="s">
        <v>285</v>
      </c>
      <c r="EO1" s="1" t="s">
        <v>231</v>
      </c>
      <c r="EP1" s="1" t="s">
        <v>260</v>
      </c>
      <c r="EQ1" s="1" t="s">
        <v>286</v>
      </c>
      <c r="ER1" s="1" t="s">
        <v>310</v>
      </c>
      <c r="ES1" s="1" t="s">
        <v>246</v>
      </c>
      <c r="ET1" s="1" t="s">
        <v>232</v>
      </c>
      <c r="EU1" s="1" t="s">
        <v>261</v>
      </c>
      <c r="EV1" s="1" t="s">
        <v>287</v>
      </c>
      <c r="EW1" s="1" t="s">
        <v>233</v>
      </c>
      <c r="EX1" s="1" t="s">
        <v>262</v>
      </c>
      <c r="EY1" s="1" t="s">
        <v>288</v>
      </c>
      <c r="EZ1" s="1" t="s">
        <v>263</v>
      </c>
      <c r="FA1" s="1" t="s">
        <v>289</v>
      </c>
      <c r="FB1" s="1" t="s">
        <v>311</v>
      </c>
      <c r="FC1" s="1" t="s">
        <v>214</v>
      </c>
      <c r="FD1" s="1" t="s">
        <v>178</v>
      </c>
      <c r="FE1" s="1" t="s">
        <v>179</v>
      </c>
      <c r="FF1" s="1" t="s">
        <v>215</v>
      </c>
      <c r="FG1" s="1" t="s">
        <v>216</v>
      </c>
      <c r="FH1" s="1" t="s">
        <v>143</v>
      </c>
      <c r="FI1" s="1" t="s">
        <v>142</v>
      </c>
      <c r="FJ1" s="1" t="s">
        <v>144</v>
      </c>
      <c r="FK1" s="1" t="s">
        <v>145</v>
      </c>
      <c r="FL1" s="1" t="s">
        <v>269</v>
      </c>
    </row>
    <row r="2" spans="1:168">
      <c r="A2" t="s">
        <v>125</v>
      </c>
      <c r="B2" s="1" t="s">
        <v>72</v>
      </c>
      <c r="C2" s="1">
        <v>431493</v>
      </c>
      <c r="D2" s="6">
        <f t="shared" ref="D2:D15" si="0">C2+G2*3</f>
        <v>440024.1</v>
      </c>
      <c r="E2" s="6">
        <f t="shared" ref="E2:E15" si="1">C2+G2*5</f>
        <v>445711.5</v>
      </c>
      <c r="F2" s="1">
        <v>459930</v>
      </c>
      <c r="G2" s="1">
        <f t="shared" ref="G2:G30" si="2">(F2-C2)/10</f>
        <v>2843.7</v>
      </c>
      <c r="H2" s="1">
        <v>1.31</v>
      </c>
      <c r="I2" s="1">
        <v>1.28</v>
      </c>
      <c r="J2" s="1">
        <v>1.22</v>
      </c>
      <c r="K2">
        <v>173001</v>
      </c>
      <c r="L2">
        <f>K2/C2</f>
        <v>0.40093582051157262</v>
      </c>
      <c r="M2">
        <v>151972</v>
      </c>
      <c r="N2">
        <f>M2/F2</f>
        <v>0.33042419498619358</v>
      </c>
      <c r="O2">
        <f>(N2-L2)/L2</f>
        <v>-0.17586761251566393</v>
      </c>
      <c r="P2">
        <f>SUM(AE2,BL2,CS2,DM2)/DX2</f>
        <v>0.15747916098897868</v>
      </c>
      <c r="Q2">
        <f>SUM(BC2,CJ2,DF2)/EE2</f>
        <v>0.12871925058733596</v>
      </c>
      <c r="R2">
        <f>SUM(AE2,BL2,CS2)/SUM(Z2,BG2,CN2)</f>
        <v>704.66731095557247</v>
      </c>
      <c r="S2">
        <f>SUM(BC2,CJ2,DF2)/SUM(AT2,CA2,CW2)</f>
        <v>781.21493030519196</v>
      </c>
      <c r="T2">
        <f>SUM(AC2,BJ2,CQ2)</f>
        <v>560.13662497421751</v>
      </c>
      <c r="U2">
        <v>92297.113769999996</v>
      </c>
      <c r="V2">
        <f>T2/U2</f>
        <v>6.0688422648843736E-3</v>
      </c>
      <c r="W2">
        <f>SUM(AY2,CF2,DB2)</f>
        <v>681.64014380449203</v>
      </c>
      <c r="X2">
        <v>79429.064259999999</v>
      </c>
      <c r="Y2">
        <f>W2/X2</f>
        <v>8.5817471243679489E-3</v>
      </c>
      <c r="Z2" s="1">
        <v>15595</v>
      </c>
      <c r="AA2" s="1">
        <f>Z2/C2</f>
        <v>3.6141953635400806E-2</v>
      </c>
      <c r="AB2" s="1">
        <v>155926</v>
      </c>
      <c r="AC2" s="1">
        <f t="shared" ref="AC2:AC30" si="3">AB2/C2</f>
        <v>0.36136391552122515</v>
      </c>
      <c r="AD2" s="1">
        <v>61.278341249999997</v>
      </c>
      <c r="AE2" s="1">
        <v>19024</v>
      </c>
      <c r="AF2">
        <f>AE2/Z2</f>
        <v>1.2198781660788713</v>
      </c>
      <c r="AG2">
        <f>AE2/AB2</f>
        <v>0.12200659287097726</v>
      </c>
      <c r="AH2">
        <f>AC2/AD2</f>
        <v>5.897090360963796E-3</v>
      </c>
      <c r="AI2">
        <v>69801</v>
      </c>
      <c r="AJ2">
        <f>AI2*H2</f>
        <v>91439.31</v>
      </c>
      <c r="AK2">
        <f t="shared" ref="AK2:AK30" si="4">AJ2/D2</f>
        <v>0.20780523157708863</v>
      </c>
      <c r="AL2">
        <f>30.9675585*H2</f>
        <v>40.567501634999999</v>
      </c>
      <c r="AM2">
        <f>AK2/AL2</f>
        <v>5.1224557392462811E-3</v>
      </c>
      <c r="AN2" s="8">
        <v>86.58</v>
      </c>
      <c r="AO2">
        <f>AN2*1000</f>
        <v>86580</v>
      </c>
      <c r="AP2">
        <f>AO2*I2</f>
        <v>110822.40000000001</v>
      </c>
      <c r="AQ2">
        <f t="shared" ref="AQ2:AQ30" si="5">AP2/E2</f>
        <v>0.24864155400971258</v>
      </c>
      <c r="AR2">
        <f>40.43719276*I2</f>
        <v>51.759606732800002</v>
      </c>
      <c r="AS2">
        <f>AQ2/AR2</f>
        <v>4.803775950101041E-3</v>
      </c>
      <c r="AT2" s="1">
        <v>16521</v>
      </c>
      <c r="AU2" s="1">
        <f>AT2/F2</f>
        <v>3.5920683582284257E-2</v>
      </c>
      <c r="AV2" s="1">
        <f>(AU2-AA2)/AA2</f>
        <v>-6.1222493766860432E-3</v>
      </c>
      <c r="AW2" s="1">
        <v>123953</v>
      </c>
      <c r="AX2" s="1">
        <f>AW2*J2</f>
        <v>151222.66</v>
      </c>
      <c r="AY2" s="1">
        <f t="shared" ref="AY2:AY30" si="6">AX2/F2</f>
        <v>0.32879494705716089</v>
      </c>
      <c r="AZ2" s="1">
        <f>(AY2-AC2)/AC2</f>
        <v>-9.0127893420369157E-2</v>
      </c>
      <c r="BA2" s="1">
        <f>49.57856717*J2</f>
        <v>60.4858519474</v>
      </c>
      <c r="BB2" s="1">
        <v>13646</v>
      </c>
      <c r="BC2" s="1">
        <f>BB2*J2</f>
        <v>16648.12</v>
      </c>
      <c r="BD2" s="1">
        <f>BC2/AT2</f>
        <v>1.0076944494885296</v>
      </c>
      <c r="BE2" s="1">
        <f>BC2/AX2</f>
        <v>0.11009011480157802</v>
      </c>
      <c r="BF2" s="1">
        <f>AY2/BA2</f>
        <v>5.4358984203957171E-3</v>
      </c>
      <c r="BG2" s="1">
        <v>6724</v>
      </c>
      <c r="BH2" s="1">
        <f>BG2/C2</f>
        <v>1.5583103318014428E-2</v>
      </c>
      <c r="BI2" s="1">
        <v>259561.72</v>
      </c>
      <c r="BJ2" s="1">
        <f t="shared" ref="BJ2:BJ30" si="7">BI2/C2</f>
        <v>0.60154329270695006</v>
      </c>
      <c r="BK2" s="1">
        <v>101.2013381</v>
      </c>
      <c r="BL2" s="1">
        <v>11998.37</v>
      </c>
      <c r="BM2">
        <f t="shared" ref="BM2:BM30" si="8">BL2/BG2</f>
        <v>1.7844095776323619</v>
      </c>
      <c r="BN2">
        <f t="shared" ref="BN2:BN30" si="9">BL2/BI2</f>
        <v>4.6225498890976685E-2</v>
      </c>
      <c r="BO2">
        <f>BJ2/BK2</f>
        <v>5.9440250890017638E-3</v>
      </c>
      <c r="BP2">
        <v>84974</v>
      </c>
      <c r="BQ2">
        <f>BP2*H2</f>
        <v>111315.94</v>
      </c>
      <c r="BR2">
        <f t="shared" ref="BR2:BR30" si="10">BQ2/D2</f>
        <v>0.25297691649161946</v>
      </c>
      <c r="BS2">
        <f>45.43911116*H2</f>
        <v>59.525235619600004</v>
      </c>
      <c r="BT2">
        <f>BR2/BS2</f>
        <v>4.2499103759670162E-3</v>
      </c>
      <c r="BU2">
        <v>123.95</v>
      </c>
      <c r="BV2">
        <f t="shared" ref="BV2:BV30" si="11">BU2*1000</f>
        <v>123950</v>
      </c>
      <c r="BW2">
        <f>BV2*I2</f>
        <v>158656</v>
      </c>
      <c r="BX2">
        <f t="shared" ref="BX2:BX30" si="12">BW2/E2</f>
        <v>0.35596119911646884</v>
      </c>
      <c r="BY2">
        <f>59.56812992*I2</f>
        <v>76.247206297600002</v>
      </c>
      <c r="BZ2">
        <f>BX2/BY2</f>
        <v>4.6685146433709176E-3</v>
      </c>
      <c r="CA2" s="1">
        <v>6427</v>
      </c>
      <c r="CB2" s="1">
        <f>CA2/F2</f>
        <v>1.3973865588241688E-2</v>
      </c>
      <c r="CC2" s="1">
        <f>(CB2-BH2)/BH2</f>
        <v>-0.10326811655752959</v>
      </c>
      <c r="CD2" s="1">
        <v>189531</v>
      </c>
      <c r="CE2" s="1">
        <f>CD2*J2</f>
        <v>231227.82</v>
      </c>
      <c r="CF2">
        <f t="shared" ref="CF2:CF30" si="13">CE2/F2</f>
        <v>0.50274567869023545</v>
      </c>
      <c r="CG2">
        <f>(CF2-BJ2)/BJ2</f>
        <v>-0.16424023875675595</v>
      </c>
      <c r="CH2">
        <f>74.52290074*J2</f>
        <v>90.917938902799989</v>
      </c>
      <c r="CI2" s="1">
        <v>10145</v>
      </c>
      <c r="CJ2" s="1">
        <f>CI2*J2</f>
        <v>12376.9</v>
      </c>
      <c r="CK2">
        <f>CJ2/CA2</f>
        <v>1.9257662984285047</v>
      </c>
      <c r="CL2">
        <f>CJ2/CE2</f>
        <v>5.3526863679292568E-2</v>
      </c>
      <c r="CM2">
        <f>CF2/CH2</f>
        <v>5.5296642748107047E-3</v>
      </c>
      <c r="CN2" s="1">
        <v>31544</v>
      </c>
      <c r="CO2" s="1">
        <f>CN2/C2</f>
        <v>7.3104314554349667E-2</v>
      </c>
      <c r="CP2" s="1">
        <v>241279545</v>
      </c>
      <c r="CQ2" s="1">
        <f t="shared" ref="CQ2:CQ30" si="14">CP2/C2</f>
        <v>559.1737177659893</v>
      </c>
      <c r="CR2" s="1">
        <v>108123.0123</v>
      </c>
      <c r="CS2" s="1">
        <v>37924473</v>
      </c>
      <c r="CT2">
        <f>CS2/CN2</f>
        <v>1202.2721595232056</v>
      </c>
      <c r="CU2">
        <f>CS2/CP2</f>
        <v>0.15718063874830335</v>
      </c>
      <c r="CV2">
        <f>CQ2/CR2</f>
        <v>5.1716439069834285E-3</v>
      </c>
      <c r="CW2" s="1">
        <v>28921</v>
      </c>
      <c r="CX2" s="1">
        <f>CW2/F2</f>
        <v>6.2881308025134253E-2</v>
      </c>
      <c r="CY2" s="1">
        <f>(CX2-CO2)/CO2</f>
        <v>-0.13984135671794151</v>
      </c>
      <c r="CZ2" s="1">
        <v>256659263</v>
      </c>
      <c r="DA2" s="1">
        <f t="shared" ref="DA2:DA30" si="15">CZ2*J2</f>
        <v>313124300.86000001</v>
      </c>
      <c r="DB2" s="1">
        <f t="shared" ref="DB2:DB30" si="16">DA2/F2</f>
        <v>680.80860317874465</v>
      </c>
      <c r="DC2" s="1">
        <f>(DB2-CQ2)/CQ2</f>
        <v>0.21752611317053852</v>
      </c>
      <c r="DD2" s="1">
        <f>77011.92475*J2</f>
        <v>93954.54819500001</v>
      </c>
      <c r="DE2" s="1">
        <v>33190010</v>
      </c>
      <c r="DF2" s="1">
        <f>DE2*J2</f>
        <v>40491812.199999996</v>
      </c>
      <c r="DG2">
        <f>DF2/CW2</f>
        <v>1400.0834065212127</v>
      </c>
      <c r="DH2">
        <f>DF2/DA2</f>
        <v>0.12931545743587675</v>
      </c>
      <c r="DI2">
        <f>DB2/DD2</f>
        <v>7.2461484436681621E-3</v>
      </c>
      <c r="DJ2" s="1">
        <v>1910141</v>
      </c>
      <c r="DK2">
        <f t="shared" ref="DK2:DK30" si="17">DJ2/C2</f>
        <v>4.4268180480332244</v>
      </c>
      <c r="DL2">
        <v>1889.3069949999999</v>
      </c>
      <c r="DM2" s="1">
        <v>407243</v>
      </c>
      <c r="DN2" s="3">
        <f>DK2/DL2</f>
        <v>2.3430909109788292E-3</v>
      </c>
      <c r="DO2" s="1">
        <v>1060149</v>
      </c>
      <c r="DP2" s="1">
        <f>DO2*J2</f>
        <v>1293381.78</v>
      </c>
      <c r="DQ2" s="3">
        <f t="shared" ref="DQ2:DQ30" si="18">DP2/F2</f>
        <v>2.8121274541778098</v>
      </c>
      <c r="DR2" s="3">
        <f>1562.204597*J2</f>
        <v>1905.8896083399998</v>
      </c>
      <c r="DS2" s="3">
        <f>DM2*DU2</f>
        <v>434767.80242545577</v>
      </c>
      <c r="DT2" s="3">
        <f>DQ2/DR2</f>
        <v>1.4754933558964777E-3</v>
      </c>
      <c r="DU2" s="3">
        <f>(BC2+CJ2+DF2)/(AE2+BL2+CS2)</f>
        <v>1.0675881535728196</v>
      </c>
      <c r="DV2" s="3">
        <f>SUM(DG2,CT2,CK2,BM2,BD2,AF2)/6</f>
        <v>434.71555242267442</v>
      </c>
      <c r="DW2" s="3">
        <f>SUM(DH2,CU2,CL2,BN2,BE2,AG2)/6</f>
        <v>0.10305752773783411</v>
      </c>
      <c r="DX2" s="3">
        <f>SUM(AB2,BI2,CP2,DJ2)</f>
        <v>243605173.72</v>
      </c>
      <c r="DY2" s="3">
        <f>DX2/C2</f>
        <v>564.56344302225068</v>
      </c>
      <c r="DZ2" s="3">
        <f>CP2+DJ2</f>
        <v>243189686</v>
      </c>
      <c r="EA2" s="3">
        <f>SUM(AJ2,BQ2)</f>
        <v>202755.25</v>
      </c>
      <c r="EB2" s="3">
        <f>EA2/D2</f>
        <v>0.4607821480687081</v>
      </c>
      <c r="EC2" s="3">
        <f>SUM(AP2,BW2)</f>
        <v>269478.40000000002</v>
      </c>
      <c r="ED2" s="3">
        <f>EC2/E2</f>
        <v>0.6046027531261815</v>
      </c>
      <c r="EE2" s="9">
        <f>SUM(AX2,CE2,DA2,DP2)</f>
        <v>314800133.12</v>
      </c>
      <c r="EF2" s="13">
        <f>EE2/F2</f>
        <v>684.45227125866984</v>
      </c>
      <c r="EG2" s="14">
        <f>(EF2-DY2)/DY2</f>
        <v>0.21235669740609484</v>
      </c>
      <c r="EH2" s="9">
        <f>DA2+DP2</f>
        <v>314417682.63999999</v>
      </c>
      <c r="EI2" s="10">
        <v>643116</v>
      </c>
      <c r="EJ2" s="10">
        <f t="shared" ref="EJ2:EJ30" si="19">EI2*H2</f>
        <v>842481.96000000008</v>
      </c>
      <c r="EK2" s="10">
        <f>EJ2/D2</f>
        <v>1.9146268579380086</v>
      </c>
      <c r="EL2" s="10">
        <v>1731000</v>
      </c>
      <c r="EM2" s="10">
        <f t="shared" ref="EM2:EM30" si="20">EL2*I2</f>
        <v>2215680</v>
      </c>
      <c r="EN2" s="10">
        <f>EM2/E2</f>
        <v>4.9711079925018762</v>
      </c>
      <c r="EO2" s="11">
        <v>4434838</v>
      </c>
      <c r="EP2" s="11">
        <f t="shared" ref="EP2:EP30" si="21">EO2*J2</f>
        <v>5410502.3600000003</v>
      </c>
      <c r="EQ2" s="11">
        <f>EP2/F2</f>
        <v>11.763751788315615</v>
      </c>
      <c r="ER2" s="10">
        <f>EK2+EN2+EQ2</f>
        <v>18.649486638755498</v>
      </c>
      <c r="ES2" s="10">
        <f>EP2/EM2</f>
        <v>2.441915059936453</v>
      </c>
      <c r="ET2" s="12">
        <v>182852</v>
      </c>
      <c r="EU2" s="12">
        <f t="shared" ref="EU2:EU30" si="22">ET2*H2</f>
        <v>239536.12</v>
      </c>
      <c r="EV2" s="12">
        <f>EU2/D2</f>
        <v>0.54437045607274692</v>
      </c>
      <c r="EW2" s="10">
        <v>23000</v>
      </c>
      <c r="EX2" s="10">
        <f t="shared" ref="EX2:EX30" si="23">EW2*I2</f>
        <v>29440</v>
      </c>
      <c r="EY2" s="10">
        <f>EX2/E2</f>
        <v>6.6051694874375011E-2</v>
      </c>
      <c r="EZ2" s="3">
        <f>EW2*ES2</f>
        <v>56164.04637853842</v>
      </c>
      <c r="FA2" s="3">
        <f>EZ2/F2</f>
        <v>0.12211433561311161</v>
      </c>
      <c r="FB2" s="3">
        <f>EV2+EY2+FA2</f>
        <v>0.73253648656023351</v>
      </c>
      <c r="FC2" s="1">
        <f>FD2-FL2*3</f>
        <v>1.8622999999999998</v>
      </c>
      <c r="FD2">
        <f>18.7/10</f>
        <v>1.8699999999999999</v>
      </c>
      <c r="FE2" s="2">
        <f>2.4</f>
        <v>2.4</v>
      </c>
      <c r="FF2" s="7">
        <f>FE2+FG2*5</f>
        <v>3.7250000000000001</v>
      </c>
      <c r="FG2" s="1">
        <f>(FE2-FD2)/2</f>
        <v>0.26500000000000001</v>
      </c>
      <c r="FH2">
        <v>2.63E-2</v>
      </c>
      <c r="FI2">
        <v>3.4000000000000002E-2</v>
      </c>
      <c r="FJ2">
        <v>4.41E-2</v>
      </c>
      <c r="FK2">
        <v>4.0899999999999999E-2</v>
      </c>
      <c r="FL2" s="1">
        <f>(FI2-FH2)/3</f>
        <v>2.5666666666666672E-3</v>
      </c>
    </row>
    <row r="3" spans="1:168">
      <c r="A3" t="s">
        <v>125</v>
      </c>
      <c r="B3" s="1" t="s">
        <v>73</v>
      </c>
      <c r="C3" s="1">
        <v>118363</v>
      </c>
      <c r="D3" s="6">
        <f t="shared" si="0"/>
        <v>125446.3</v>
      </c>
      <c r="E3" s="6">
        <f t="shared" si="1"/>
        <v>130168.5</v>
      </c>
      <c r="F3" s="1">
        <v>141974</v>
      </c>
      <c r="G3" s="1">
        <f t="shared" si="2"/>
        <v>2361.1</v>
      </c>
      <c r="H3" s="1">
        <v>1.31</v>
      </c>
      <c r="I3" s="1">
        <v>1.28</v>
      </c>
      <c r="J3" s="1">
        <v>1.22</v>
      </c>
      <c r="K3">
        <v>49051</v>
      </c>
      <c r="L3">
        <f t="shared" ref="L3:L66" si="24">K3/C3</f>
        <v>0.41441159821903806</v>
      </c>
      <c r="M3">
        <v>49500</v>
      </c>
      <c r="N3">
        <f t="shared" ref="N3:N66" si="25">M3/F3</f>
        <v>0.34865538760618142</v>
      </c>
      <c r="O3">
        <f t="shared" ref="O3:O66" si="26">(N3-L3)/L3</f>
        <v>-0.15867367345761657</v>
      </c>
      <c r="P3">
        <f t="shared" ref="P3:P66" si="27">SUM(AE3,BL3,CS3,DM3)/DX3</f>
        <v>0.23801081574950309</v>
      </c>
      <c r="Q3">
        <f t="shared" ref="Q3:Q66" si="28">SUM(BC3,CJ3,DF3)/EE3</f>
        <v>0.14562520036098109</v>
      </c>
      <c r="R3">
        <f t="shared" ref="R3:R66" si="29">SUM(AE3,BL3,CS3)/SUM(Z3,BG3,CN3)</f>
        <v>542.90294019376006</v>
      </c>
      <c r="S3">
        <f t="shared" ref="S3:S66" si="30">SUM(BC3,CJ3,DF3)/SUM(AT3,CA3,CW3)</f>
        <v>544.67029131121637</v>
      </c>
      <c r="T3">
        <f t="shared" ref="T3:T66" si="31">SUM(AC3,BJ3,CQ3)</f>
        <v>254.8701663526609</v>
      </c>
      <c r="U3">
        <v>92297.113769999996</v>
      </c>
      <c r="V3">
        <f t="shared" ref="V3:V66" si="32">T3/U3</f>
        <v>2.7614099286764828E-3</v>
      </c>
      <c r="W3">
        <f t="shared" ref="W3:W66" si="33">SUM(AY3,CF3,DB3)</f>
        <v>406.12501063575019</v>
      </c>
      <c r="X3">
        <v>79429.064259999999</v>
      </c>
      <c r="Y3">
        <f t="shared" ref="Y3:Y66" si="34">W3/X3</f>
        <v>5.1130529412553123E-3</v>
      </c>
      <c r="Z3" s="1">
        <v>4325</v>
      </c>
      <c r="AA3" s="1">
        <f t="shared" ref="AA3:AA66" si="35">Z3/C3</f>
        <v>3.6540135008406346E-2</v>
      </c>
      <c r="AB3" s="1">
        <v>39519</v>
      </c>
      <c r="AC3" s="1">
        <f t="shared" si="3"/>
        <v>0.3338796752363492</v>
      </c>
      <c r="AD3" s="1">
        <v>61.278341249999997</v>
      </c>
      <c r="AE3" s="1">
        <v>4390</v>
      </c>
      <c r="AF3">
        <f>AE3/Z3</f>
        <v>1.0150289017341041</v>
      </c>
      <c r="AG3">
        <f t="shared" ref="AG3:AG59" si="36">AE3/AB3</f>
        <v>0.11108580682709583</v>
      </c>
      <c r="AH3">
        <f>AC3/AD3</f>
        <v>5.448575604783513E-3</v>
      </c>
      <c r="AI3">
        <v>23396</v>
      </c>
      <c r="AJ3">
        <f t="shared" ref="AJ3:AJ59" si="37">AI3*H3</f>
        <v>30648.760000000002</v>
      </c>
      <c r="AK3">
        <f t="shared" si="4"/>
        <v>0.24431776784169801</v>
      </c>
      <c r="AL3">
        <f t="shared" ref="AL3:AL59" si="38">30.9675585*H3</f>
        <v>40.567501634999999</v>
      </c>
      <c r="AM3">
        <f t="shared" ref="AM3:AM59" si="39">AK3/AL3</f>
        <v>6.0224997348841056E-3</v>
      </c>
      <c r="AN3">
        <v>27.57</v>
      </c>
      <c r="AO3">
        <f t="shared" ref="AO3:AO59" si="40">AN3*1000</f>
        <v>27570</v>
      </c>
      <c r="AP3">
        <f t="shared" ref="AP3:AP59" si="41">AO3*I3</f>
        <v>35289.599999999999</v>
      </c>
      <c r="AQ3">
        <f t="shared" si="5"/>
        <v>0.27110706507334725</v>
      </c>
      <c r="AR3">
        <f t="shared" ref="AR3:AR59" si="42">40.43719276*I3</f>
        <v>51.759606732800002</v>
      </c>
      <c r="AS3">
        <f t="shared" ref="AS3:AS59" si="43">AQ3/AR3</f>
        <v>5.2378115327052326E-3</v>
      </c>
      <c r="AT3" s="1">
        <v>5048</v>
      </c>
      <c r="AU3" s="1">
        <f t="shared" ref="AU3:AU66" si="44">AT3/F3</f>
        <v>3.5555805992646544E-2</v>
      </c>
      <c r="AV3" s="1">
        <f t="shared" ref="AV3:AV66" si="45">(AU3-AA3)/AA3</f>
        <v>-2.6938297177428315E-2</v>
      </c>
      <c r="AW3" s="1">
        <v>36722</v>
      </c>
      <c r="AX3" s="1">
        <f t="shared" ref="AX3:AX59" si="46">AW3*J3</f>
        <v>44800.84</v>
      </c>
      <c r="AY3" s="1">
        <f t="shared" si="6"/>
        <v>0.31555665121782861</v>
      </c>
      <c r="AZ3" s="1">
        <f t="shared" ref="AZ3:AZ66" si="47">(AY3-AC3)/AC3</f>
        <v>-5.4879123760827785E-2</v>
      </c>
      <c r="BA3" s="1">
        <f t="shared" ref="BA3:BA59" si="48">49.57856717*J3</f>
        <v>60.4858519474</v>
      </c>
      <c r="BB3" s="1">
        <v>3929</v>
      </c>
      <c r="BC3" s="1">
        <f t="shared" ref="BC3:BC59" si="49">BB3*J3</f>
        <v>4793.38</v>
      </c>
      <c r="BD3" s="1">
        <f t="shared" ref="BD3:BD59" si="50">BC3/AT3</f>
        <v>0.94956022187004752</v>
      </c>
      <c r="BE3" s="1">
        <f t="shared" ref="BE3:BE59" si="51">BC3/AX3</f>
        <v>0.10699308316540494</v>
      </c>
      <c r="BF3" s="1">
        <f t="shared" ref="BF3:BF59" si="52">AY3/BA3</f>
        <v>5.2170324308607654E-3</v>
      </c>
      <c r="BG3" s="1">
        <v>1789</v>
      </c>
      <c r="BH3" s="1">
        <f t="shared" ref="BH3:BH66" si="53">BG3/C3</f>
        <v>1.5114520584980104E-2</v>
      </c>
      <c r="BI3" s="1">
        <v>53433.5</v>
      </c>
      <c r="BJ3" s="1">
        <f t="shared" si="7"/>
        <v>0.45143752692986827</v>
      </c>
      <c r="BK3" s="1">
        <v>101.2013381</v>
      </c>
      <c r="BL3" s="1">
        <v>2874.643</v>
      </c>
      <c r="BM3">
        <f t="shared" si="8"/>
        <v>1.606843487982113</v>
      </c>
      <c r="BN3">
        <f t="shared" si="9"/>
        <v>5.3798515912302211E-2</v>
      </c>
      <c r="BO3">
        <f t="shared" ref="BO3:BO59" si="54">BJ3/BK3</f>
        <v>4.4607861457700258E-3</v>
      </c>
      <c r="BP3">
        <v>41775</v>
      </c>
      <c r="BQ3">
        <f t="shared" ref="BQ3:BQ59" si="55">BP3*H3</f>
        <v>54725.25</v>
      </c>
      <c r="BR3">
        <f t="shared" si="10"/>
        <v>0.43624443287685644</v>
      </c>
      <c r="BS3">
        <f t="shared" ref="BS3:BS59" si="56">45.43911116*H3</f>
        <v>59.525235619600004</v>
      </c>
      <c r="BT3">
        <f t="shared" ref="BT3:BT59" si="57">BR3/BS3</f>
        <v>7.3287308875970795E-3</v>
      </c>
      <c r="BU3">
        <v>49.61</v>
      </c>
      <c r="BV3">
        <f t="shared" si="11"/>
        <v>49610</v>
      </c>
      <c r="BW3">
        <f t="shared" ref="BW3:BW59" si="58">BV3*I3</f>
        <v>63500.800000000003</v>
      </c>
      <c r="BX3">
        <f t="shared" si="12"/>
        <v>0.48783538260024512</v>
      </c>
      <c r="BY3">
        <f t="shared" ref="BY3:BY59" si="59">59.56812992*I3</f>
        <v>76.247206297600002</v>
      </c>
      <c r="BZ3">
        <f t="shared" ref="BZ3:BZ59" si="60">BX3/BY3</f>
        <v>6.3980755005787074E-3</v>
      </c>
      <c r="CA3" s="1">
        <v>1958</v>
      </c>
      <c r="CB3" s="1">
        <f t="shared" ref="CB3:CB66" si="61">CA3/F3</f>
        <v>1.3791257554200066E-2</v>
      </c>
      <c r="CC3" s="1">
        <f t="shared" ref="CC3:CC66" si="62">(CB3-BH3)/BH3</f>
        <v>-8.7549123595426298E-2</v>
      </c>
      <c r="CD3" s="1">
        <v>45126</v>
      </c>
      <c r="CE3" s="1">
        <f t="shared" ref="CE3:CE59" si="63">CD3*J3</f>
        <v>55053.72</v>
      </c>
      <c r="CF3">
        <f t="shared" si="13"/>
        <v>0.38777325425782189</v>
      </c>
      <c r="CG3">
        <f t="shared" ref="CG3:CG66" si="64">(CF3-BJ3)/BJ3</f>
        <v>-0.14102565443553999</v>
      </c>
      <c r="CH3">
        <f t="shared" ref="CH3:CH59" si="65">74.52290074*J3</f>
        <v>90.917938902799989</v>
      </c>
      <c r="CI3" s="1">
        <v>2473</v>
      </c>
      <c r="CJ3" s="1">
        <f t="shared" ref="CJ3:CJ59" si="66">CI3*J3</f>
        <v>3017.06</v>
      </c>
      <c r="CK3">
        <f t="shared" ref="CK3:CK59" si="67">CJ3/CA3</f>
        <v>1.5408886618998978</v>
      </c>
      <c r="CL3">
        <f t="shared" ref="CL3:CL59" si="68">CJ3/CE3</f>
        <v>5.480210964853964E-2</v>
      </c>
      <c r="CM3">
        <f t="shared" ref="CM3:CM59" si="69">CF3/CH3</f>
        <v>4.2650906843850556E-3</v>
      </c>
      <c r="CN3" s="1">
        <v>6995</v>
      </c>
      <c r="CO3" s="1">
        <f t="shared" ref="CO3:CO66" si="70">CN3/C3</f>
        <v>5.9097859973133493E-2</v>
      </c>
      <c r="CP3" s="1">
        <v>30074245</v>
      </c>
      <c r="CQ3" s="1">
        <f t="shared" si="14"/>
        <v>254.08484915049468</v>
      </c>
      <c r="CR3" s="1">
        <v>108123.0123</v>
      </c>
      <c r="CS3" s="1">
        <v>7109650</v>
      </c>
      <c r="CT3">
        <f t="shared" ref="CT3:CT59" si="71">CS3/CN3</f>
        <v>1016.3902787705504</v>
      </c>
      <c r="CU3">
        <f t="shared" ref="CU3:CU59" si="72">CS3/CP3</f>
        <v>0.23640327462917191</v>
      </c>
      <c r="CV3">
        <f t="shared" ref="CV3:CV59" si="73">CQ3/CR3</f>
        <v>2.349960880164034E-3</v>
      </c>
      <c r="CW3" s="1">
        <v>8819</v>
      </c>
      <c r="CX3" s="1">
        <f t="shared" ref="CX3:CX66" si="74">CW3/F3</f>
        <v>6.2117007339371998E-2</v>
      </c>
      <c r="CY3" s="1">
        <f t="shared" ref="CY3:CY66" si="75">(CX3-CO3)/CO3</f>
        <v>5.1087253711234903E-2</v>
      </c>
      <c r="CZ3" s="1">
        <v>47179785</v>
      </c>
      <c r="DA3" s="1">
        <f t="shared" si="15"/>
        <v>57559337.699999996</v>
      </c>
      <c r="DB3" s="1">
        <f t="shared" si="16"/>
        <v>405.42168073027455</v>
      </c>
      <c r="DC3" s="1">
        <f t="shared" ref="DC3:DC66" si="76">(DB3-CQ3)/CQ3</f>
        <v>0.59561533120041699</v>
      </c>
      <c r="DD3" s="1">
        <f t="shared" ref="DD3:DD59" si="77">77011.92475*J3</f>
        <v>93954.54819500001</v>
      </c>
      <c r="DE3" s="1">
        <v>7058686</v>
      </c>
      <c r="DF3" s="1">
        <f t="shared" ref="DF3:DF59" si="78">DE3*J3</f>
        <v>8611596.9199999999</v>
      </c>
      <c r="DG3">
        <f t="shared" ref="DG3:DG59" si="79">DF3/CW3</f>
        <v>976.48224515251161</v>
      </c>
      <c r="DH3">
        <f t="shared" ref="DH3:DH59" si="80">DF3/DA3</f>
        <v>0.14961250883190758</v>
      </c>
      <c r="DI3">
        <f t="shared" ref="DI3:DI59" si="81">DB3/DD3</f>
        <v>4.3150830749442096E-3</v>
      </c>
      <c r="DJ3" s="1">
        <v>2084474</v>
      </c>
      <c r="DK3">
        <f t="shared" si="17"/>
        <v>17.610858122893134</v>
      </c>
      <c r="DL3">
        <v>1889.3069949999999</v>
      </c>
      <c r="DM3" s="1">
        <v>559332</v>
      </c>
      <c r="DN3" s="3">
        <f t="shared" ref="DN3:DN59" si="82">DK3/DL3</f>
        <v>9.3213321972023585E-3</v>
      </c>
      <c r="DO3" s="1">
        <v>1253926</v>
      </c>
      <c r="DP3" s="1">
        <f t="shared" ref="DP3:DP59" si="83">DO3*J3</f>
        <v>1529789.72</v>
      </c>
      <c r="DQ3" s="3">
        <f t="shared" si="18"/>
        <v>10.775139955203064</v>
      </c>
      <c r="DR3" s="3">
        <f t="shared" ref="DR3:DR59" si="84">1562.204597*J3</f>
        <v>1905.8896083399998</v>
      </c>
      <c r="DS3" s="3">
        <f t="shared" ref="DS3:DS59" si="85">DM3*DU3</f>
        <v>677415.7903137746</v>
      </c>
      <c r="DT3" s="3">
        <f t="shared" ref="DT3:DT59" si="86">DQ3/DR3</f>
        <v>5.6536012936174431E-3</v>
      </c>
      <c r="DU3" s="3">
        <f t="shared" ref="DU3:DU59" si="87">(BC3+CJ3+DF3)/(AE3+BL3+CS3)</f>
        <v>1.2111157421956451</v>
      </c>
      <c r="DV3" s="3">
        <f t="shared" ref="DV3:DV59" si="88">SUM(DG3,CT3,CK3,BM3,BD3,AF3)/6</f>
        <v>332.99747419942474</v>
      </c>
      <c r="DW3" s="3">
        <f t="shared" ref="DW3:DW59" si="89">SUM(DH3,CU3,CL3,BN3,BE3,AG3)/6</f>
        <v>0.11878254983573701</v>
      </c>
      <c r="DX3" s="3">
        <f t="shared" ref="DX3:DX59" si="90">SUM(AB3,BI3,CP3,DJ3)</f>
        <v>32251671.5</v>
      </c>
      <c r="DY3" s="3">
        <f t="shared" ref="DY3:DY66" si="91">DX3/C3</f>
        <v>272.48102447555402</v>
      </c>
      <c r="DZ3" s="3">
        <f t="shared" ref="DZ3:DZ59" si="92">CP3+DJ3</f>
        <v>32158719</v>
      </c>
      <c r="EA3" s="3">
        <f t="shared" ref="EA3:EA59" si="93">SUM(AJ3,BQ3)</f>
        <v>85374.010000000009</v>
      </c>
      <c r="EB3" s="3">
        <f t="shared" ref="EB3:EB66" si="94">EA3/D3</f>
        <v>0.68056220071855456</v>
      </c>
      <c r="EC3" s="3">
        <f t="shared" ref="EC3:EC59" si="95">SUM(AP3,BW3)</f>
        <v>98790.399999999994</v>
      </c>
      <c r="ED3" s="3">
        <f t="shared" ref="ED3:ED66" si="96">EC3/E3</f>
        <v>0.75894244767359231</v>
      </c>
      <c r="EE3" s="9">
        <f t="shared" ref="EE3:EE59" si="97">SUM(AX3,CE3,DA3,DP3)</f>
        <v>59188981.979999997</v>
      </c>
      <c r="EF3" s="13">
        <f t="shared" ref="EF3:EF66" si="98">EE3/F3</f>
        <v>416.90015059095327</v>
      </c>
      <c r="EG3" s="14">
        <f t="shared" ref="EG3:EG66" si="99">(EF3-DY3)/DY3</f>
        <v>0.53001535205383077</v>
      </c>
      <c r="EH3" s="9">
        <f t="shared" ref="EH3:EH59" si="100">DA3+DP3</f>
        <v>59089127.419999994</v>
      </c>
      <c r="EI3" s="10">
        <v>160094</v>
      </c>
      <c r="EJ3" s="10">
        <f t="shared" si="19"/>
        <v>209723.14</v>
      </c>
      <c r="EK3" s="10">
        <f t="shared" ref="EK3:EK66" si="101">EJ3/D3</f>
        <v>1.6718160679111302</v>
      </c>
      <c r="EL3" s="10">
        <v>312000</v>
      </c>
      <c r="EM3" s="10">
        <f t="shared" si="20"/>
        <v>399360</v>
      </c>
      <c r="EN3" s="10">
        <f t="shared" ref="EN3:EN66" si="102">EM3/E3</f>
        <v>3.0680233697092616</v>
      </c>
      <c r="EO3" s="11">
        <v>1393193</v>
      </c>
      <c r="EP3" s="11">
        <f t="shared" si="21"/>
        <v>1699695.46</v>
      </c>
      <c r="EQ3" s="11">
        <f t="shared" ref="EQ3:EQ66" si="103">EP3/F3</f>
        <v>11.971878372096299</v>
      </c>
      <c r="ER3" s="10">
        <f t="shared" ref="ER3:ER66" si="104">EK3+EN3+EQ3</f>
        <v>16.711717809716689</v>
      </c>
      <c r="ES3" s="10">
        <f>EP3/EM3</f>
        <v>4.2560483273237182</v>
      </c>
      <c r="ET3" s="12">
        <v>126128</v>
      </c>
      <c r="EU3" s="12">
        <f t="shared" si="22"/>
        <v>165227.68</v>
      </c>
      <c r="EV3" s="12">
        <f t="shared" ref="EV3:EV66" si="105">EU3/D3</f>
        <v>1.3171187990399078</v>
      </c>
      <c r="EW3" s="10">
        <v>21000</v>
      </c>
      <c r="EX3" s="10">
        <f t="shared" si="23"/>
        <v>26880</v>
      </c>
      <c r="EY3" s="10">
        <f t="shared" ref="EY3:EY66" si="106">EX3/E3</f>
        <v>0.20650157296120028</v>
      </c>
      <c r="EZ3" s="3">
        <f t="shared" ref="EZ3:EZ59" si="107">EW3*ES3</f>
        <v>89377.014873798078</v>
      </c>
      <c r="FA3" s="3">
        <f t="shared" ref="FA3:FA66" si="108">EZ3/F3</f>
        <v>0.62953086391732349</v>
      </c>
      <c r="FB3" s="3">
        <f t="shared" ref="FB3:FB66" si="109">EV3+EY3+FA3</f>
        <v>2.1531512359184317</v>
      </c>
      <c r="FC3" s="1">
        <f t="shared" ref="FC3:FC59" si="110">FD3-FL3*3</f>
        <v>2.2423000000000002</v>
      </c>
      <c r="FD3">
        <f>22.5/10</f>
        <v>2.25</v>
      </c>
      <c r="FE3">
        <f>2.6</f>
        <v>2.6</v>
      </c>
      <c r="FF3" s="7">
        <f t="shared" ref="FF3:FF59" si="111">FE3+FG3*5</f>
        <v>3.4750000000000005</v>
      </c>
      <c r="FG3" s="1">
        <f t="shared" ref="FG3:FG59" si="112">(FE3-FD3)/2</f>
        <v>0.17500000000000004</v>
      </c>
      <c r="FH3">
        <v>2.63E-2</v>
      </c>
      <c r="FI3">
        <v>3.4000000000000002E-2</v>
      </c>
      <c r="FJ3">
        <v>4.41E-2</v>
      </c>
      <c r="FK3">
        <v>4.0899999999999999E-2</v>
      </c>
      <c r="FL3" s="1">
        <f t="shared" ref="FL3:FL59" si="113">(FI3-FH3)/3</f>
        <v>2.5666666666666672E-3</v>
      </c>
    </row>
    <row r="4" spans="1:168">
      <c r="A4" t="s">
        <v>139</v>
      </c>
      <c r="B4" s="1" t="s">
        <v>98</v>
      </c>
      <c r="C4" s="1">
        <v>474883</v>
      </c>
      <c r="D4" s="6">
        <f t="shared" si="0"/>
        <v>486321.4</v>
      </c>
      <c r="E4" s="6">
        <f t="shared" si="1"/>
        <v>493947</v>
      </c>
      <c r="F4" s="1">
        <v>513011</v>
      </c>
      <c r="G4" s="1">
        <f t="shared" si="2"/>
        <v>3812.8</v>
      </c>
      <c r="H4" s="1">
        <v>1.31</v>
      </c>
      <c r="I4" s="1">
        <v>1.28</v>
      </c>
      <c r="J4" s="1">
        <v>1.22</v>
      </c>
      <c r="K4">
        <v>206035</v>
      </c>
      <c r="L4">
        <f t="shared" si="24"/>
        <v>0.43386476247833677</v>
      </c>
      <c r="M4">
        <v>191131</v>
      </c>
      <c r="N4">
        <f t="shared" si="25"/>
        <v>0.37256705996557576</v>
      </c>
      <c r="O4">
        <f t="shared" si="26"/>
        <v>-0.14128297067181539</v>
      </c>
      <c r="P4">
        <f t="shared" si="27"/>
        <v>0.12969351190799122</v>
      </c>
      <c r="Q4">
        <f t="shared" si="28"/>
        <v>0.13172597227584079</v>
      </c>
      <c r="R4">
        <f t="shared" si="29"/>
        <v>729.46967444522261</v>
      </c>
      <c r="S4">
        <f t="shared" si="30"/>
        <v>787.38732742338902</v>
      </c>
      <c r="T4">
        <f t="shared" si="31"/>
        <v>715.32966012049292</v>
      </c>
      <c r="U4">
        <v>92297.113769999996</v>
      </c>
      <c r="V4">
        <f t="shared" si="32"/>
        <v>7.7502928412589399E-3</v>
      </c>
      <c r="W4">
        <f t="shared" si="33"/>
        <v>672.58611581428079</v>
      </c>
      <c r="X4">
        <v>79429.064259999999</v>
      </c>
      <c r="Y4">
        <f t="shared" si="34"/>
        <v>8.4677582706081441E-3</v>
      </c>
      <c r="Z4" s="1">
        <v>21026</v>
      </c>
      <c r="AA4" s="1">
        <f t="shared" si="35"/>
        <v>4.4276169077435916E-2</v>
      </c>
      <c r="AB4" s="1">
        <v>264733</v>
      </c>
      <c r="AC4" s="1">
        <f t="shared" si="3"/>
        <v>0.55746994522861426</v>
      </c>
      <c r="AD4" s="1">
        <v>61.278341249999997</v>
      </c>
      <c r="AE4" s="1">
        <v>31395</v>
      </c>
      <c r="AF4">
        <f t="shared" ref="AF4:AF59" si="114">AE4/Z4</f>
        <v>1.4931513364405973</v>
      </c>
      <c r="AG4">
        <f t="shared" si="36"/>
        <v>0.11859118432533912</v>
      </c>
      <c r="AH4">
        <f>AC4/AD4</f>
        <v>9.0973406566975945E-3</v>
      </c>
      <c r="AI4">
        <v>146030</v>
      </c>
      <c r="AJ4">
        <f t="shared" si="37"/>
        <v>191299.30000000002</v>
      </c>
      <c r="AK4">
        <f t="shared" si="4"/>
        <v>0.39335982335961361</v>
      </c>
      <c r="AL4">
        <f t="shared" si="38"/>
        <v>40.567501634999999</v>
      </c>
      <c r="AM4">
        <f t="shared" si="39"/>
        <v>9.6964271277735943E-3</v>
      </c>
      <c r="AN4">
        <v>193.69</v>
      </c>
      <c r="AO4">
        <f t="shared" si="40"/>
        <v>193690</v>
      </c>
      <c r="AP4">
        <f t="shared" si="41"/>
        <v>247923.20000000001</v>
      </c>
      <c r="AQ4">
        <f t="shared" si="5"/>
        <v>0.50192267591462247</v>
      </c>
      <c r="AR4">
        <f t="shared" si="42"/>
        <v>51.759606732800002</v>
      </c>
      <c r="AS4">
        <f t="shared" si="43"/>
        <v>9.6971887461531781E-3</v>
      </c>
      <c r="AT4" s="1">
        <v>25431</v>
      </c>
      <c r="AU4" s="1">
        <f t="shared" si="44"/>
        <v>4.9572036467054312E-2</v>
      </c>
      <c r="AV4" s="1">
        <f t="shared" si="45"/>
        <v>0.11960988269685878</v>
      </c>
      <c r="AW4" s="1">
        <v>250580</v>
      </c>
      <c r="AX4" s="1">
        <f t="shared" si="46"/>
        <v>305707.59999999998</v>
      </c>
      <c r="AY4" s="1">
        <f t="shared" si="6"/>
        <v>0.59590846979889311</v>
      </c>
      <c r="AZ4" s="1">
        <f t="shared" si="47"/>
        <v>6.8951743316880518E-2</v>
      </c>
      <c r="BA4" s="1">
        <f t="shared" si="48"/>
        <v>60.4858519474</v>
      </c>
      <c r="BB4" s="1">
        <v>30927</v>
      </c>
      <c r="BC4" s="1">
        <f t="shared" si="49"/>
        <v>37730.94</v>
      </c>
      <c r="BD4" s="1">
        <f t="shared" si="50"/>
        <v>1.4836593134363574</v>
      </c>
      <c r="BE4" s="1">
        <f t="shared" si="51"/>
        <v>0.12342166174475219</v>
      </c>
      <c r="BF4" s="1">
        <f t="shared" si="52"/>
        <v>9.8520306916915039E-3</v>
      </c>
      <c r="BG4" s="1">
        <v>6800</v>
      </c>
      <c r="BH4" s="1">
        <f t="shared" si="53"/>
        <v>1.4319316547444318E-2</v>
      </c>
      <c r="BI4" s="1">
        <v>158669.98699999999</v>
      </c>
      <c r="BJ4" s="1">
        <f t="shared" si="7"/>
        <v>0.33412437800468747</v>
      </c>
      <c r="BK4" s="1">
        <v>101.2013381</v>
      </c>
      <c r="BL4" s="1">
        <v>11531.333000000001</v>
      </c>
      <c r="BM4">
        <f t="shared" si="8"/>
        <v>1.6957842647058825</v>
      </c>
      <c r="BN4">
        <f t="shared" si="9"/>
        <v>7.2674947657240307E-2</v>
      </c>
      <c r="BO4">
        <f t="shared" si="54"/>
        <v>3.3015806339885489E-3</v>
      </c>
      <c r="BP4">
        <v>92606</v>
      </c>
      <c r="BQ4">
        <f t="shared" si="55"/>
        <v>121313.86</v>
      </c>
      <c r="BR4">
        <f t="shared" si="10"/>
        <v>0.24945202904910208</v>
      </c>
      <c r="BS4">
        <f t="shared" si="56"/>
        <v>59.525235619600004</v>
      </c>
      <c r="BT4">
        <f t="shared" si="57"/>
        <v>4.1906936856704264E-3</v>
      </c>
      <c r="BU4">
        <v>130.07</v>
      </c>
      <c r="BV4">
        <f t="shared" si="11"/>
        <v>130070</v>
      </c>
      <c r="BW4">
        <f t="shared" si="58"/>
        <v>166489.60000000001</v>
      </c>
      <c r="BX4">
        <f t="shared" si="12"/>
        <v>0.33705964405087996</v>
      </c>
      <c r="BY4">
        <f t="shared" si="59"/>
        <v>76.247206297600002</v>
      </c>
      <c r="BZ4">
        <f t="shared" si="60"/>
        <v>4.4206163139316156E-3</v>
      </c>
      <c r="CA4" s="1">
        <v>6300</v>
      </c>
      <c r="CB4" s="1">
        <f t="shared" si="61"/>
        <v>1.2280438431144751E-2</v>
      </c>
      <c r="CC4" s="1">
        <f t="shared" si="62"/>
        <v>-0.14238655242686574</v>
      </c>
      <c r="CD4" s="1">
        <v>167295</v>
      </c>
      <c r="CE4" s="1">
        <f t="shared" si="63"/>
        <v>204099.9</v>
      </c>
      <c r="CF4">
        <f t="shared" si="13"/>
        <v>0.39784702472266675</v>
      </c>
      <c r="CG4">
        <f t="shared" si="64"/>
        <v>0.1907153470767862</v>
      </c>
      <c r="CH4">
        <f t="shared" si="65"/>
        <v>90.917938902799989</v>
      </c>
      <c r="CI4" s="1">
        <v>11535</v>
      </c>
      <c r="CJ4" s="1">
        <f t="shared" si="66"/>
        <v>14072.699999999999</v>
      </c>
      <c r="CK4">
        <f t="shared" si="67"/>
        <v>2.2337619047619044</v>
      </c>
      <c r="CL4">
        <f t="shared" si="68"/>
        <v>6.8950058280283333E-2</v>
      </c>
      <c r="CM4">
        <f t="shared" si="69"/>
        <v>4.3758913754963526E-3</v>
      </c>
      <c r="CN4" s="1">
        <v>30711</v>
      </c>
      <c r="CO4" s="1">
        <f t="shared" si="70"/>
        <v>6.4670666248318007E-2</v>
      </c>
      <c r="CP4" s="1">
        <v>339274492</v>
      </c>
      <c r="CQ4" s="1">
        <f t="shared" si="14"/>
        <v>714.43806579725958</v>
      </c>
      <c r="CR4" s="1">
        <v>108123.0123</v>
      </c>
      <c r="CS4" s="1">
        <v>42658040</v>
      </c>
      <c r="CT4">
        <f t="shared" si="71"/>
        <v>1389.0150109081437</v>
      </c>
      <c r="CU4">
        <f t="shared" si="72"/>
        <v>0.12573311877510673</v>
      </c>
      <c r="CV4">
        <f t="shared" si="73"/>
        <v>6.6076411542712781E-3</v>
      </c>
      <c r="CW4" s="1">
        <v>27040</v>
      </c>
      <c r="CX4" s="1">
        <f t="shared" si="74"/>
        <v>5.2708421456849855E-2</v>
      </c>
      <c r="CY4" s="1">
        <f t="shared" si="75"/>
        <v>-0.18497172652491845</v>
      </c>
      <c r="CZ4" s="1">
        <v>282405138</v>
      </c>
      <c r="DA4" s="1">
        <f t="shared" si="15"/>
        <v>344534268.36000001</v>
      </c>
      <c r="DB4" s="1">
        <f t="shared" si="16"/>
        <v>671.59236031975922</v>
      </c>
      <c r="DC4" s="1">
        <f t="shared" si="76"/>
        <v>-5.9971196285135996E-2</v>
      </c>
      <c r="DD4" s="1">
        <f t="shared" si="77"/>
        <v>93954.54819500001</v>
      </c>
      <c r="DE4" s="1">
        <v>37888309</v>
      </c>
      <c r="DF4" s="1">
        <f t="shared" si="78"/>
        <v>46223736.979999997</v>
      </c>
      <c r="DG4">
        <f t="shared" si="79"/>
        <v>1709.4577285502958</v>
      </c>
      <c r="DH4">
        <f t="shared" si="80"/>
        <v>0.13416295917392265</v>
      </c>
      <c r="DI4">
        <f t="shared" si="81"/>
        <v>7.1480558761869437E-3</v>
      </c>
      <c r="DJ4" s="1">
        <v>4507306</v>
      </c>
      <c r="DK4">
        <f t="shared" si="17"/>
        <v>9.4914031456169212</v>
      </c>
      <c r="DL4">
        <v>1889.3069949999999</v>
      </c>
      <c r="DM4" s="1">
        <v>1940215</v>
      </c>
      <c r="DN4" s="3">
        <f t="shared" si="82"/>
        <v>5.0237484806522521E-3</v>
      </c>
      <c r="DO4" s="1">
        <v>5129092</v>
      </c>
      <c r="DP4" s="1">
        <f t="shared" si="83"/>
        <v>6257492.2400000002</v>
      </c>
      <c r="DQ4" s="3">
        <f t="shared" si="18"/>
        <v>12.197579077251754</v>
      </c>
      <c r="DR4" s="3">
        <f t="shared" si="84"/>
        <v>1905.8896083399998</v>
      </c>
      <c r="DS4" s="3">
        <f t="shared" si="85"/>
        <v>2102633.8688416607</v>
      </c>
      <c r="DT4" s="3">
        <f t="shared" si="86"/>
        <v>6.3999399670769267E-3</v>
      </c>
      <c r="DU4" s="3">
        <f t="shared" si="87"/>
        <v>1.0837117890757781</v>
      </c>
      <c r="DV4" s="3">
        <f t="shared" si="88"/>
        <v>517.56318271296402</v>
      </c>
      <c r="DW4" s="3">
        <f t="shared" si="89"/>
        <v>0.10725565499277405</v>
      </c>
      <c r="DX4" s="3">
        <f t="shared" si="90"/>
        <v>344205200.98699999</v>
      </c>
      <c r="DY4" s="3">
        <f t="shared" si="91"/>
        <v>724.82106326610972</v>
      </c>
      <c r="DZ4" s="3">
        <f t="shared" si="92"/>
        <v>343781798</v>
      </c>
      <c r="EA4" s="3">
        <f t="shared" si="93"/>
        <v>312613.16000000003</v>
      </c>
      <c r="EB4" s="3">
        <f t="shared" si="94"/>
        <v>0.64281185240871574</v>
      </c>
      <c r="EC4" s="3">
        <f t="shared" si="95"/>
        <v>414412.80000000005</v>
      </c>
      <c r="ED4" s="3">
        <f t="shared" si="96"/>
        <v>0.83898231996550243</v>
      </c>
      <c r="EE4" s="9">
        <f t="shared" si="97"/>
        <v>351301568.10000002</v>
      </c>
      <c r="EF4" s="13">
        <f t="shared" si="98"/>
        <v>684.7836948915326</v>
      </c>
      <c r="EG4" s="14">
        <f t="shared" si="99"/>
        <v>-5.5237589528876391E-2</v>
      </c>
      <c r="EH4" s="9">
        <f t="shared" si="100"/>
        <v>350791760.60000002</v>
      </c>
      <c r="EI4" s="10">
        <v>744286</v>
      </c>
      <c r="EJ4" s="10">
        <f t="shared" si="19"/>
        <v>975014.66</v>
      </c>
      <c r="EK4" s="10">
        <f t="shared" si="101"/>
        <v>2.0048771450320713</v>
      </c>
      <c r="EL4" s="10">
        <v>719000</v>
      </c>
      <c r="EM4" s="10">
        <f t="shared" si="20"/>
        <v>920320</v>
      </c>
      <c r="EN4" s="10">
        <f t="shared" si="102"/>
        <v>1.8631958489473568</v>
      </c>
      <c r="EO4" s="11">
        <v>7660827</v>
      </c>
      <c r="EP4" s="11">
        <f t="shared" si="21"/>
        <v>9346208.9399999995</v>
      </c>
      <c r="EQ4" s="11">
        <f t="shared" si="103"/>
        <v>18.21834023052137</v>
      </c>
      <c r="ER4" s="10">
        <f t="shared" si="104"/>
        <v>22.086413224500799</v>
      </c>
      <c r="ES4" s="10">
        <f t="shared" ref="ES4:ES59" si="115">EP4/EM4</f>
        <v>10.155390451147426</v>
      </c>
      <c r="ET4" s="12">
        <v>231425</v>
      </c>
      <c r="EU4" s="12">
        <f t="shared" si="22"/>
        <v>303166.75</v>
      </c>
      <c r="EV4" s="12">
        <f t="shared" si="105"/>
        <v>0.62338764035471195</v>
      </c>
      <c r="EW4" s="10">
        <v>59000</v>
      </c>
      <c r="EX4" s="10">
        <f t="shared" si="23"/>
        <v>75520</v>
      </c>
      <c r="EY4" s="10">
        <f t="shared" si="106"/>
        <v>0.15289089720152163</v>
      </c>
      <c r="EZ4" s="3">
        <f t="shared" si="107"/>
        <v>599168.03661769815</v>
      </c>
      <c r="FA4" s="3">
        <f t="shared" si="108"/>
        <v>1.1679438386656391</v>
      </c>
      <c r="FB4" s="3">
        <f t="shared" si="109"/>
        <v>1.9442223762218727</v>
      </c>
      <c r="FC4" s="1">
        <f t="shared" si="110"/>
        <v>7.0823000000000009</v>
      </c>
      <c r="FD4">
        <f>70.9/10</f>
        <v>7.0900000000000007</v>
      </c>
      <c r="FE4">
        <f>7.8</f>
        <v>7.8</v>
      </c>
      <c r="FF4" s="7">
        <f t="shared" si="111"/>
        <v>9.5749999999999975</v>
      </c>
      <c r="FG4" s="1">
        <f t="shared" si="112"/>
        <v>0.35499999999999954</v>
      </c>
      <c r="FH4">
        <v>2.63E-2</v>
      </c>
      <c r="FI4">
        <v>3.4000000000000002E-2</v>
      </c>
      <c r="FJ4">
        <v>4.41E-2</v>
      </c>
      <c r="FK4">
        <v>4.0899999999999999E-2</v>
      </c>
      <c r="FL4" s="1">
        <f t="shared" si="113"/>
        <v>2.5666666666666672E-3</v>
      </c>
    </row>
    <row r="5" spans="1:168">
      <c r="A5" t="s">
        <v>139</v>
      </c>
      <c r="B5" s="1" t="s">
        <v>99</v>
      </c>
      <c r="C5" s="1">
        <v>2208492</v>
      </c>
      <c r="D5" s="6">
        <f t="shared" si="0"/>
        <v>2381637.2999999998</v>
      </c>
      <c r="E5" s="6">
        <f t="shared" si="1"/>
        <v>2497067.5</v>
      </c>
      <c r="F5" s="1">
        <v>2785643</v>
      </c>
      <c r="G5" s="1">
        <f t="shared" si="2"/>
        <v>57715.1</v>
      </c>
      <c r="H5" s="1">
        <v>1.31</v>
      </c>
      <c r="I5" s="1">
        <v>1.28</v>
      </c>
      <c r="J5" s="1">
        <v>1.22</v>
      </c>
      <c r="K5">
        <v>964436</v>
      </c>
      <c r="L5">
        <f t="shared" si="24"/>
        <v>0.43669435977128285</v>
      </c>
      <c r="M5">
        <v>1036984</v>
      </c>
      <c r="N5">
        <f t="shared" si="25"/>
        <v>0.3722601927095468</v>
      </c>
      <c r="O5">
        <f t="shared" si="26"/>
        <v>-0.1475498037013421</v>
      </c>
      <c r="P5">
        <f t="shared" si="27"/>
        <v>0.13669428790162827</v>
      </c>
      <c r="Q5">
        <f t="shared" si="28"/>
        <v>0.13364395465997639</v>
      </c>
      <c r="R5">
        <f t="shared" si="29"/>
        <v>660.10268878415673</v>
      </c>
      <c r="S5">
        <f t="shared" si="30"/>
        <v>624.10868591256587</v>
      </c>
      <c r="T5">
        <f t="shared" si="31"/>
        <v>598.69549072579832</v>
      </c>
      <c r="U5">
        <v>92297.113769999996</v>
      </c>
      <c r="V5">
        <f t="shared" si="32"/>
        <v>6.486611187189655E-3</v>
      </c>
      <c r="W5">
        <f t="shared" si="33"/>
        <v>535.33320783029262</v>
      </c>
      <c r="X5">
        <v>79429.064259999999</v>
      </c>
      <c r="Y5">
        <f t="shared" si="34"/>
        <v>6.7397647551021601E-3</v>
      </c>
      <c r="Z5" s="1">
        <v>105400</v>
      </c>
      <c r="AA5" s="1">
        <f t="shared" si="35"/>
        <v>4.7724872899698075E-2</v>
      </c>
      <c r="AB5" s="1">
        <v>1286894</v>
      </c>
      <c r="AC5" s="1">
        <f t="shared" si="3"/>
        <v>0.58270258619908966</v>
      </c>
      <c r="AD5" s="1">
        <v>61.278341249999997</v>
      </c>
      <c r="AE5" s="1">
        <v>156713</v>
      </c>
      <c r="AF5">
        <f t="shared" si="114"/>
        <v>1.4868406072106262</v>
      </c>
      <c r="AG5">
        <f t="shared" si="36"/>
        <v>0.121776152503625</v>
      </c>
      <c r="AH5">
        <f t="shared" ref="AH5:AH60" si="116">AC5/AD5</f>
        <v>9.5091116096274828E-3</v>
      </c>
      <c r="AI5">
        <v>664731</v>
      </c>
      <c r="AJ5">
        <f t="shared" si="37"/>
        <v>870797.61</v>
      </c>
      <c r="AK5">
        <f t="shared" si="4"/>
        <v>0.36562981693308216</v>
      </c>
      <c r="AL5">
        <f t="shared" si="38"/>
        <v>40.567501634999999</v>
      </c>
      <c r="AM5">
        <f t="shared" si="39"/>
        <v>9.0128748923900097E-3</v>
      </c>
      <c r="AN5">
        <v>939.41</v>
      </c>
      <c r="AO5">
        <f t="shared" si="40"/>
        <v>939410</v>
      </c>
      <c r="AP5">
        <f t="shared" si="41"/>
        <v>1202444.8</v>
      </c>
      <c r="AQ5">
        <f t="shared" si="5"/>
        <v>0.48154276966882154</v>
      </c>
      <c r="AR5">
        <f t="shared" si="42"/>
        <v>51.759606732800002</v>
      </c>
      <c r="AS5">
        <f t="shared" si="43"/>
        <v>9.3034472258396901E-3</v>
      </c>
      <c r="AT5" s="1">
        <v>145505</v>
      </c>
      <c r="AU5" s="1">
        <f t="shared" si="44"/>
        <v>5.2233900754691108E-2</v>
      </c>
      <c r="AV5" s="1">
        <f t="shared" si="45"/>
        <v>9.4479619976558585E-2</v>
      </c>
      <c r="AW5" s="1">
        <v>1314497</v>
      </c>
      <c r="AX5" s="1">
        <f t="shared" si="46"/>
        <v>1603686.3399999999</v>
      </c>
      <c r="AY5" s="1">
        <f t="shared" si="6"/>
        <v>0.57569700783625177</v>
      </c>
      <c r="AZ5" s="1">
        <f t="shared" si="47"/>
        <v>-1.2022562673926962E-2</v>
      </c>
      <c r="BA5" s="1">
        <f t="shared" si="48"/>
        <v>60.4858519474</v>
      </c>
      <c r="BB5" s="1">
        <v>167820</v>
      </c>
      <c r="BC5" s="1">
        <f t="shared" si="49"/>
        <v>204740.4</v>
      </c>
      <c r="BD5" s="1">
        <f t="shared" si="50"/>
        <v>1.4071021614377512</v>
      </c>
      <c r="BE5" s="1">
        <f t="shared" si="51"/>
        <v>0.12766860631861465</v>
      </c>
      <c r="BF5" s="1">
        <f t="shared" si="52"/>
        <v>9.5178787981178171E-3</v>
      </c>
      <c r="BG5" s="1">
        <v>46832</v>
      </c>
      <c r="BH5" s="1">
        <f t="shared" si="53"/>
        <v>2.1205419806818407E-2</v>
      </c>
      <c r="BI5" s="1">
        <v>1540821.7039999999</v>
      </c>
      <c r="BJ5" s="1">
        <f t="shared" si="7"/>
        <v>0.69768045526087485</v>
      </c>
      <c r="BK5" s="1">
        <v>101.2013381</v>
      </c>
      <c r="BL5" s="1">
        <v>88297.331000000006</v>
      </c>
      <c r="BM5">
        <f t="shared" si="8"/>
        <v>1.8854059403826444</v>
      </c>
      <c r="BN5">
        <f t="shared" si="9"/>
        <v>5.7305352573096942E-2</v>
      </c>
      <c r="BO5">
        <f t="shared" si="54"/>
        <v>6.8939844903184617E-3</v>
      </c>
      <c r="BP5">
        <v>792265</v>
      </c>
      <c r="BQ5">
        <f t="shared" si="55"/>
        <v>1037867.15</v>
      </c>
      <c r="BR5">
        <f t="shared" si="10"/>
        <v>0.43577884424299201</v>
      </c>
      <c r="BS5">
        <f t="shared" si="56"/>
        <v>59.525235619600004</v>
      </c>
      <c r="BT5">
        <f t="shared" si="57"/>
        <v>7.3209091859436871E-3</v>
      </c>
      <c r="BU5">
        <v>1119.95</v>
      </c>
      <c r="BV5">
        <f t="shared" si="11"/>
        <v>1119950</v>
      </c>
      <c r="BW5">
        <f t="shared" si="58"/>
        <v>1433536</v>
      </c>
      <c r="BX5">
        <f t="shared" si="12"/>
        <v>0.57408780499525947</v>
      </c>
      <c r="BY5">
        <f t="shared" si="59"/>
        <v>76.247206297600002</v>
      </c>
      <c r="BZ5">
        <f t="shared" si="60"/>
        <v>7.5292962571578146E-3</v>
      </c>
      <c r="CA5" s="1">
        <v>54338</v>
      </c>
      <c r="CB5" s="1">
        <f t="shared" si="61"/>
        <v>1.9506447882948388E-2</v>
      </c>
      <c r="CC5" s="1">
        <f t="shared" si="62"/>
        <v>-8.0119702384940775E-2</v>
      </c>
      <c r="CD5" s="1">
        <v>1585624</v>
      </c>
      <c r="CE5" s="1">
        <f t="shared" si="63"/>
        <v>1934461.28</v>
      </c>
      <c r="CF5">
        <f t="shared" si="13"/>
        <v>0.69443976848433198</v>
      </c>
      <c r="CG5">
        <f t="shared" si="64"/>
        <v>-4.6449441891433362E-3</v>
      </c>
      <c r="CH5">
        <f t="shared" si="65"/>
        <v>90.917938902799989</v>
      </c>
      <c r="CI5" s="1">
        <v>91445</v>
      </c>
      <c r="CJ5" s="1">
        <f t="shared" si="66"/>
        <v>111562.9</v>
      </c>
      <c r="CK5">
        <f t="shared" si="67"/>
        <v>2.0531285656446685</v>
      </c>
      <c r="CL5">
        <f t="shared" si="68"/>
        <v>5.7671301645282863E-2</v>
      </c>
      <c r="CM5">
        <f t="shared" si="69"/>
        <v>7.6380940534381755E-3</v>
      </c>
      <c r="CN5" s="1">
        <v>114480</v>
      </c>
      <c r="CO5" s="1">
        <f t="shared" si="70"/>
        <v>5.1836275612499386E-2</v>
      </c>
      <c r="CP5" s="1">
        <v>1319386486</v>
      </c>
      <c r="CQ5" s="1">
        <f t="shared" si="14"/>
        <v>597.41510768433841</v>
      </c>
      <c r="CR5" s="1">
        <v>108123.0123</v>
      </c>
      <c r="CS5" s="1">
        <v>175812298</v>
      </c>
      <c r="CT5">
        <f t="shared" si="71"/>
        <v>1535.7468378756114</v>
      </c>
      <c r="CU5">
        <f t="shared" si="72"/>
        <v>0.13325306865391071</v>
      </c>
      <c r="CV5">
        <f t="shared" si="73"/>
        <v>5.525328003503454E-3</v>
      </c>
      <c r="CW5" s="1">
        <v>126391</v>
      </c>
      <c r="CX5" s="1">
        <f t="shared" si="74"/>
        <v>4.537228927037671E-2</v>
      </c>
      <c r="CY5" s="1">
        <f t="shared" si="75"/>
        <v>-0.12470005350006283</v>
      </c>
      <c r="CZ5" s="1">
        <v>1219433652</v>
      </c>
      <c r="DA5" s="1">
        <f t="shared" si="15"/>
        <v>1487709055.4400001</v>
      </c>
      <c r="DB5" s="1">
        <f t="shared" si="16"/>
        <v>534.06307105397207</v>
      </c>
      <c r="DC5" s="1">
        <f t="shared" si="76"/>
        <v>-0.10604357977475225</v>
      </c>
      <c r="DD5" s="1">
        <f t="shared" si="77"/>
        <v>93954.54819500001</v>
      </c>
      <c r="DE5" s="1">
        <v>166630467</v>
      </c>
      <c r="DF5" s="1">
        <f t="shared" si="78"/>
        <v>203289169.74000001</v>
      </c>
      <c r="DG5">
        <f t="shared" si="79"/>
        <v>1608.4149167266658</v>
      </c>
      <c r="DH5">
        <f t="shared" si="80"/>
        <v>0.13664578366088917</v>
      </c>
      <c r="DI5">
        <f t="shared" si="81"/>
        <v>5.6842705469195513E-3</v>
      </c>
      <c r="DJ5" s="1">
        <v>61845617</v>
      </c>
      <c r="DK5">
        <f t="shared" si="17"/>
        <v>28.003550386417519</v>
      </c>
      <c r="DL5">
        <v>1889.3069949999999</v>
      </c>
      <c r="DM5" s="1">
        <v>13135763</v>
      </c>
      <c r="DN5" s="3">
        <f t="shared" si="82"/>
        <v>1.4822128145678898E-2</v>
      </c>
      <c r="DO5" s="1">
        <v>26430022</v>
      </c>
      <c r="DP5" s="1">
        <f t="shared" si="83"/>
        <v>32244626.84</v>
      </c>
      <c r="DQ5" s="3">
        <f t="shared" si="18"/>
        <v>11.575290458971232</v>
      </c>
      <c r="DR5" s="3">
        <f t="shared" si="84"/>
        <v>1905.8896083399998</v>
      </c>
      <c r="DS5" s="3">
        <f t="shared" si="85"/>
        <v>15191151.476245785</v>
      </c>
      <c r="DT5" s="3">
        <f t="shared" si="86"/>
        <v>6.0734317498342049E-3</v>
      </c>
      <c r="DU5" s="3">
        <f t="shared" si="87"/>
        <v>1.156472713175914</v>
      </c>
      <c r="DV5" s="3">
        <f t="shared" si="88"/>
        <v>525.16570531282548</v>
      </c>
      <c r="DW5" s="3">
        <f t="shared" si="89"/>
        <v>0.1057200442259032</v>
      </c>
      <c r="DX5" s="3">
        <f t="shared" si="90"/>
        <v>1384059818.704</v>
      </c>
      <c r="DY5" s="3">
        <f t="shared" si="91"/>
        <v>626.69904111221592</v>
      </c>
      <c r="DZ5" s="3">
        <f t="shared" si="92"/>
        <v>1381232103</v>
      </c>
      <c r="EA5" s="3">
        <f t="shared" si="93"/>
        <v>1908664.76</v>
      </c>
      <c r="EB5" s="3">
        <f t="shared" si="94"/>
        <v>0.80140866117607423</v>
      </c>
      <c r="EC5" s="3">
        <f t="shared" si="95"/>
        <v>2635980.7999999998</v>
      </c>
      <c r="ED5" s="3">
        <f t="shared" si="96"/>
        <v>1.0556305746640808</v>
      </c>
      <c r="EE5" s="9">
        <f t="shared" si="97"/>
        <v>1523491829.8999999</v>
      </c>
      <c r="EF5" s="13">
        <f t="shared" si="98"/>
        <v>546.90849828926389</v>
      </c>
      <c r="EG5" s="14">
        <f t="shared" si="99"/>
        <v>-0.12731875683317798</v>
      </c>
      <c r="EH5" s="9">
        <f t="shared" si="100"/>
        <v>1519953682.28</v>
      </c>
      <c r="EI5" s="10">
        <v>3293485</v>
      </c>
      <c r="EJ5" s="10">
        <f t="shared" si="19"/>
        <v>4314465.3500000006</v>
      </c>
      <c r="EK5" s="10">
        <f t="shared" si="101"/>
        <v>1.8115543244137136</v>
      </c>
      <c r="EL5" s="10">
        <v>3946000</v>
      </c>
      <c r="EM5" s="10">
        <f t="shared" si="20"/>
        <v>5050880</v>
      </c>
      <c r="EN5" s="10">
        <f t="shared" si="102"/>
        <v>2.0227246560215133</v>
      </c>
      <c r="EO5" s="11">
        <v>20272564</v>
      </c>
      <c r="EP5" s="11">
        <f t="shared" si="21"/>
        <v>24732528.079999998</v>
      </c>
      <c r="EQ5" s="11">
        <f t="shared" si="103"/>
        <v>8.8785706136787805</v>
      </c>
      <c r="ER5" s="10">
        <f t="shared" si="104"/>
        <v>12.712849594114008</v>
      </c>
      <c r="ES5" s="10">
        <f t="shared" si="115"/>
        <v>4.8966770305372522</v>
      </c>
      <c r="ET5" s="12">
        <v>663716</v>
      </c>
      <c r="EU5" s="12">
        <f t="shared" si="22"/>
        <v>869467.96000000008</v>
      </c>
      <c r="EV5" s="12">
        <f t="shared" si="105"/>
        <v>0.36507152453482322</v>
      </c>
      <c r="EW5" s="10">
        <v>174000</v>
      </c>
      <c r="EX5" s="10">
        <f t="shared" si="23"/>
        <v>222720</v>
      </c>
      <c r="EY5" s="10">
        <f t="shared" si="106"/>
        <v>8.9192622946716496E-2</v>
      </c>
      <c r="EZ5" s="3">
        <f t="shared" si="107"/>
        <v>852021.80331348185</v>
      </c>
      <c r="FA5" s="3">
        <f t="shared" si="108"/>
        <v>0.30586180760186493</v>
      </c>
      <c r="FB5" s="3">
        <f t="shared" si="109"/>
        <v>0.76012595508340464</v>
      </c>
      <c r="FC5" s="1">
        <f t="shared" si="110"/>
        <v>5.1923000000000004</v>
      </c>
      <c r="FD5">
        <f>52/10</f>
        <v>5.2</v>
      </c>
      <c r="FE5">
        <f>6.6</f>
        <v>6.6</v>
      </c>
      <c r="FF5" s="7">
        <f t="shared" si="111"/>
        <v>10.099999999999998</v>
      </c>
      <c r="FG5" s="1">
        <f t="shared" si="112"/>
        <v>0.69999999999999973</v>
      </c>
      <c r="FH5">
        <v>2.63E-2</v>
      </c>
      <c r="FI5">
        <v>3.4000000000000002E-2</v>
      </c>
      <c r="FJ5">
        <v>4.41E-2</v>
      </c>
      <c r="FK5">
        <v>4.0899999999999999E-2</v>
      </c>
      <c r="FL5" s="1">
        <f t="shared" si="113"/>
        <v>2.5666666666666672E-3</v>
      </c>
    </row>
    <row r="6" spans="1:168">
      <c r="A6" t="s">
        <v>139</v>
      </c>
      <c r="B6" s="1" t="s">
        <v>100</v>
      </c>
      <c r="C6" s="1">
        <v>141999</v>
      </c>
      <c r="D6" s="6">
        <f t="shared" si="0"/>
        <v>150499.20000000001</v>
      </c>
      <c r="E6" s="6">
        <f t="shared" si="1"/>
        <v>156166</v>
      </c>
      <c r="F6" s="1">
        <v>170333</v>
      </c>
      <c r="G6" s="1">
        <f t="shared" si="2"/>
        <v>2833.4</v>
      </c>
      <c r="H6" s="1">
        <v>1.31</v>
      </c>
      <c r="I6" s="1">
        <v>1.28</v>
      </c>
      <c r="J6" s="1">
        <v>1.22</v>
      </c>
      <c r="K6">
        <v>69784</v>
      </c>
      <c r="L6">
        <f t="shared" si="24"/>
        <v>0.49144008056394761</v>
      </c>
      <c r="M6">
        <v>64085</v>
      </c>
      <c r="N6">
        <f t="shared" si="25"/>
        <v>0.37623361298163011</v>
      </c>
      <c r="O6">
        <f t="shared" si="26"/>
        <v>-0.23442627522385509</v>
      </c>
      <c r="P6">
        <f t="shared" si="27"/>
        <v>0.21785484518493073</v>
      </c>
      <c r="Q6">
        <f t="shared" si="28"/>
        <v>0.10954469998892077</v>
      </c>
      <c r="R6">
        <f t="shared" si="29"/>
        <v>674.85920530367832</v>
      </c>
      <c r="S6">
        <f t="shared" si="30"/>
        <v>437.6894591268678</v>
      </c>
      <c r="T6">
        <f t="shared" si="31"/>
        <v>451.08712679666758</v>
      </c>
      <c r="U6">
        <v>92297.113769999996</v>
      </c>
      <c r="V6">
        <f t="shared" si="32"/>
        <v>4.8873372998505154E-3</v>
      </c>
      <c r="W6">
        <f t="shared" si="33"/>
        <v>346.33761068025569</v>
      </c>
      <c r="X6">
        <v>79429.064259999999</v>
      </c>
      <c r="Y6">
        <f t="shared" si="34"/>
        <v>4.3603385474436374E-3</v>
      </c>
      <c r="Z6" s="1">
        <v>6194</v>
      </c>
      <c r="AA6" s="1">
        <f t="shared" si="35"/>
        <v>4.3620025493137274E-2</v>
      </c>
      <c r="AB6" s="1">
        <v>82551</v>
      </c>
      <c r="AC6" s="1">
        <f t="shared" si="3"/>
        <v>0.58134916443073548</v>
      </c>
      <c r="AD6" s="1">
        <v>61.278341249999997</v>
      </c>
      <c r="AE6" s="1">
        <v>9299</v>
      </c>
      <c r="AF6">
        <f t="shared" si="114"/>
        <v>1.501291572489506</v>
      </c>
      <c r="AG6">
        <f t="shared" si="36"/>
        <v>0.11264551610519558</v>
      </c>
      <c r="AH6">
        <f t="shared" si="116"/>
        <v>9.4870251474167555E-3</v>
      </c>
      <c r="AI6">
        <v>47988</v>
      </c>
      <c r="AJ6">
        <f t="shared" si="37"/>
        <v>62864.280000000006</v>
      </c>
      <c r="AK6">
        <f t="shared" si="4"/>
        <v>0.41770507750207309</v>
      </c>
      <c r="AL6">
        <f t="shared" si="38"/>
        <v>40.567501634999999</v>
      </c>
      <c r="AM6">
        <f t="shared" si="39"/>
        <v>1.0296544294502328E-2</v>
      </c>
      <c r="AN6">
        <v>61.75</v>
      </c>
      <c r="AO6">
        <f t="shared" si="40"/>
        <v>61750</v>
      </c>
      <c r="AP6">
        <f t="shared" si="41"/>
        <v>79040</v>
      </c>
      <c r="AQ6">
        <f t="shared" si="5"/>
        <v>0.50612809446358364</v>
      </c>
      <c r="AR6">
        <f t="shared" si="42"/>
        <v>51.759606732800002</v>
      </c>
      <c r="AS6">
        <f t="shared" si="43"/>
        <v>9.7784377898460905E-3</v>
      </c>
      <c r="AT6" s="1">
        <v>8728</v>
      </c>
      <c r="AU6" s="1">
        <f t="shared" si="44"/>
        <v>5.1240804776525983E-2</v>
      </c>
      <c r="AV6" s="1">
        <f t="shared" si="45"/>
        <v>0.17470827211202994</v>
      </c>
      <c r="AW6" s="1">
        <v>91716</v>
      </c>
      <c r="AX6" s="1">
        <f t="shared" si="46"/>
        <v>111893.52</v>
      </c>
      <c r="AY6" s="1">
        <f t="shared" si="6"/>
        <v>0.65691040491272978</v>
      </c>
      <c r="AZ6" s="1">
        <f t="shared" si="47"/>
        <v>0.12997565852869994</v>
      </c>
      <c r="BA6" s="1">
        <f t="shared" si="48"/>
        <v>60.4858519474</v>
      </c>
      <c r="BB6" s="1">
        <v>10399</v>
      </c>
      <c r="BC6" s="1">
        <f t="shared" si="49"/>
        <v>12686.779999999999</v>
      </c>
      <c r="BD6" s="1">
        <f t="shared" si="50"/>
        <v>1.4535724106324472</v>
      </c>
      <c r="BE6" s="1">
        <f t="shared" si="51"/>
        <v>0.11338261590126039</v>
      </c>
      <c r="BF6" s="1">
        <f t="shared" si="52"/>
        <v>1.0860562987258498E-2</v>
      </c>
      <c r="BG6" s="1">
        <v>2738</v>
      </c>
      <c r="BH6" s="1">
        <f t="shared" si="53"/>
        <v>1.928182592835161E-2</v>
      </c>
      <c r="BI6" s="1">
        <v>88272.918000000005</v>
      </c>
      <c r="BJ6" s="1">
        <f t="shared" si="7"/>
        <v>0.62164464538482667</v>
      </c>
      <c r="BK6" s="1">
        <v>101.2013381</v>
      </c>
      <c r="BL6" s="1">
        <v>4760.165</v>
      </c>
      <c r="BM6">
        <f t="shared" si="8"/>
        <v>1.7385555149744338</v>
      </c>
      <c r="BN6">
        <f t="shared" si="9"/>
        <v>5.3925542599600022E-2</v>
      </c>
      <c r="BO6">
        <f t="shared" si="54"/>
        <v>6.1426524298578093E-3</v>
      </c>
      <c r="BP6">
        <v>53412</v>
      </c>
      <c r="BQ6">
        <f t="shared" si="55"/>
        <v>69969.72</v>
      </c>
      <c r="BR6">
        <f t="shared" si="10"/>
        <v>0.4649175543790266</v>
      </c>
      <c r="BS6">
        <f t="shared" si="56"/>
        <v>59.525235619600004</v>
      </c>
      <c r="BT6">
        <f t="shared" si="57"/>
        <v>7.8104277881420464E-3</v>
      </c>
      <c r="BU6">
        <v>61.54</v>
      </c>
      <c r="BV6">
        <f t="shared" si="11"/>
        <v>61540</v>
      </c>
      <c r="BW6">
        <f t="shared" si="58"/>
        <v>78771.199999999997</v>
      </c>
      <c r="BX6">
        <f t="shared" si="12"/>
        <v>0.504406849122088</v>
      </c>
      <c r="BY6">
        <f t="shared" si="59"/>
        <v>76.247206297600002</v>
      </c>
      <c r="BZ6">
        <f t="shared" si="60"/>
        <v>6.6154141720726227E-3</v>
      </c>
      <c r="CA6" s="1">
        <v>3293</v>
      </c>
      <c r="CB6" s="1">
        <f t="shared" si="61"/>
        <v>1.9332718850721822E-2</v>
      </c>
      <c r="CC6" s="1">
        <f t="shared" si="62"/>
        <v>2.6394244279210003E-3</v>
      </c>
      <c r="CD6" s="1">
        <v>77572</v>
      </c>
      <c r="CE6" s="1">
        <f t="shared" si="63"/>
        <v>94637.84</v>
      </c>
      <c r="CF6">
        <f t="shared" si="13"/>
        <v>0.55560484462787596</v>
      </c>
      <c r="CG6">
        <f t="shared" si="64"/>
        <v>-0.10623400562884126</v>
      </c>
      <c r="CH6">
        <f t="shared" si="65"/>
        <v>90.917938902799989</v>
      </c>
      <c r="CI6" s="1">
        <v>5217</v>
      </c>
      <c r="CJ6" s="1">
        <f t="shared" si="66"/>
        <v>6364.74</v>
      </c>
      <c r="CK6">
        <f t="shared" si="67"/>
        <v>1.9328089887640449</v>
      </c>
      <c r="CL6">
        <f t="shared" si="68"/>
        <v>6.725364822358583E-2</v>
      </c>
      <c r="CM6">
        <f t="shared" si="69"/>
        <v>6.1110585142264487E-3</v>
      </c>
      <c r="CN6" s="1">
        <v>8603</v>
      </c>
      <c r="CO6" s="1">
        <f t="shared" si="70"/>
        <v>6.0584933696716171E-2</v>
      </c>
      <c r="CP6" s="1">
        <v>63883097</v>
      </c>
      <c r="CQ6" s="1">
        <f t="shared" si="14"/>
        <v>449.88413298685202</v>
      </c>
      <c r="CR6" s="1">
        <v>108123.0123</v>
      </c>
      <c r="CS6" s="1">
        <v>11819597</v>
      </c>
      <c r="CT6">
        <f t="shared" si="71"/>
        <v>1373.8924793676624</v>
      </c>
      <c r="CU6">
        <f t="shared" si="72"/>
        <v>0.18501916085877929</v>
      </c>
      <c r="CV6">
        <f t="shared" si="73"/>
        <v>4.1608545990061358E-3</v>
      </c>
      <c r="CW6" s="1">
        <v>5044</v>
      </c>
      <c r="CX6" s="1">
        <f t="shared" si="74"/>
        <v>2.9612582412098652E-2</v>
      </c>
      <c r="CY6" s="1">
        <f t="shared" si="75"/>
        <v>-0.51122200512198113</v>
      </c>
      <c r="CZ6" s="1">
        <v>48185404</v>
      </c>
      <c r="DA6" s="1">
        <f t="shared" si="15"/>
        <v>58786192.879999995</v>
      </c>
      <c r="DB6" s="1">
        <f t="shared" si="16"/>
        <v>345.12509543071508</v>
      </c>
      <c r="DC6" s="1">
        <f t="shared" si="76"/>
        <v>-0.23285781799110161</v>
      </c>
      <c r="DD6" s="1">
        <f t="shared" si="77"/>
        <v>93954.54819500001</v>
      </c>
      <c r="DE6" s="1">
        <v>6106655</v>
      </c>
      <c r="DF6" s="1">
        <f t="shared" si="78"/>
        <v>7450119.0999999996</v>
      </c>
      <c r="DG6">
        <f t="shared" si="79"/>
        <v>1477.0259912767644</v>
      </c>
      <c r="DH6">
        <f t="shared" si="80"/>
        <v>0.12673246446164485</v>
      </c>
      <c r="DI6">
        <f t="shared" si="81"/>
        <v>3.6733197281138288E-3</v>
      </c>
      <c r="DJ6" s="1">
        <v>13186983</v>
      </c>
      <c r="DK6">
        <f t="shared" si="17"/>
        <v>92.866731455855316</v>
      </c>
      <c r="DL6">
        <v>1889.3069949999999</v>
      </c>
      <c r="DM6" s="1">
        <v>4993649</v>
      </c>
      <c r="DN6" s="3">
        <f t="shared" si="82"/>
        <v>4.9153859961152221E-2</v>
      </c>
      <c r="DO6" s="1">
        <v>7533644</v>
      </c>
      <c r="DP6" s="1">
        <f t="shared" si="83"/>
        <v>9191045.6799999997</v>
      </c>
      <c r="DQ6" s="3">
        <f t="shared" si="18"/>
        <v>53.959277885083921</v>
      </c>
      <c r="DR6" s="3">
        <f t="shared" si="84"/>
        <v>1905.8896083399998</v>
      </c>
      <c r="DS6" s="3">
        <f t="shared" si="85"/>
        <v>3151892.8619633745</v>
      </c>
      <c r="DT6" s="3">
        <f t="shared" si="86"/>
        <v>2.8311859012695711E-2</v>
      </c>
      <c r="DU6" s="3">
        <f t="shared" si="87"/>
        <v>0.63118029760669492</v>
      </c>
      <c r="DV6" s="3">
        <f t="shared" si="88"/>
        <v>476.25744985521459</v>
      </c>
      <c r="DW6" s="3">
        <f t="shared" si="89"/>
        <v>0.10982649135834432</v>
      </c>
      <c r="DX6" s="3">
        <f t="shared" si="90"/>
        <v>77240903.917999998</v>
      </c>
      <c r="DY6" s="3">
        <f t="shared" si="91"/>
        <v>543.95385825252288</v>
      </c>
      <c r="DZ6" s="3">
        <f t="shared" si="92"/>
        <v>77070080</v>
      </c>
      <c r="EA6" s="3">
        <f t="shared" si="93"/>
        <v>132834</v>
      </c>
      <c r="EB6" s="3">
        <f t="shared" si="94"/>
        <v>0.88262263188109968</v>
      </c>
      <c r="EC6" s="3">
        <f t="shared" si="95"/>
        <v>157811.20000000001</v>
      </c>
      <c r="ED6" s="3">
        <f t="shared" si="96"/>
        <v>1.0105349435856716</v>
      </c>
      <c r="EE6" s="9">
        <f t="shared" si="97"/>
        <v>68183769.919999987</v>
      </c>
      <c r="EF6" s="13">
        <f t="shared" si="98"/>
        <v>400.2968885653396</v>
      </c>
      <c r="EG6" s="14">
        <f t="shared" si="99"/>
        <v>-0.26409771253151504</v>
      </c>
      <c r="EH6" s="9">
        <f t="shared" si="100"/>
        <v>67977238.560000002</v>
      </c>
      <c r="EI6" s="10">
        <v>173890</v>
      </c>
      <c r="EJ6" s="10">
        <f t="shared" si="19"/>
        <v>227795.90000000002</v>
      </c>
      <c r="EK6" s="10">
        <f t="shared" si="101"/>
        <v>1.5136020656588207</v>
      </c>
      <c r="EL6" s="10">
        <v>206000</v>
      </c>
      <c r="EM6" s="10">
        <f t="shared" si="20"/>
        <v>263680</v>
      </c>
      <c r="EN6" s="10">
        <f t="shared" si="102"/>
        <v>1.688459715943291</v>
      </c>
      <c r="EO6" s="11">
        <v>1235814</v>
      </c>
      <c r="EP6" s="11">
        <f t="shared" si="21"/>
        <v>1507693.08</v>
      </c>
      <c r="EQ6" s="11">
        <f t="shared" si="103"/>
        <v>8.8514444059577428</v>
      </c>
      <c r="ER6" s="10">
        <f t="shared" si="104"/>
        <v>12.053506187559854</v>
      </c>
      <c r="ES6" s="10">
        <f t="shared" si="115"/>
        <v>5.717889411407767</v>
      </c>
      <c r="ET6" s="12">
        <v>1172864</v>
      </c>
      <c r="EU6" s="12">
        <f t="shared" si="22"/>
        <v>1536451.84</v>
      </c>
      <c r="EV6" s="12">
        <f t="shared" si="105"/>
        <v>10.209036592885543</v>
      </c>
      <c r="EW6" s="10">
        <v>275000</v>
      </c>
      <c r="EX6" s="10">
        <f t="shared" si="23"/>
        <v>352000</v>
      </c>
      <c r="EY6" s="10">
        <f t="shared" si="106"/>
        <v>2.2540117567204128</v>
      </c>
      <c r="EZ6" s="3">
        <f t="shared" si="107"/>
        <v>1572419.5881371358</v>
      </c>
      <c r="FA6" s="3">
        <f t="shared" si="108"/>
        <v>9.2314442188955503</v>
      </c>
      <c r="FB6" s="3">
        <f t="shared" si="109"/>
        <v>21.694492568501506</v>
      </c>
      <c r="FC6" s="1">
        <f t="shared" si="110"/>
        <v>4.8923000000000005</v>
      </c>
      <c r="FD6">
        <f>49/10</f>
        <v>4.9000000000000004</v>
      </c>
      <c r="FE6">
        <f>5.6</f>
        <v>5.6</v>
      </c>
      <c r="FF6" s="7">
        <f t="shared" si="111"/>
        <v>7.3499999999999979</v>
      </c>
      <c r="FG6" s="1">
        <f t="shared" si="112"/>
        <v>0.34999999999999964</v>
      </c>
      <c r="FH6">
        <v>2.63E-2</v>
      </c>
      <c r="FI6">
        <v>3.4000000000000002E-2</v>
      </c>
      <c r="FJ6">
        <v>4.41E-2</v>
      </c>
      <c r="FK6">
        <v>4.0899999999999999E-2</v>
      </c>
      <c r="FL6" s="1">
        <f t="shared" si="113"/>
        <v>2.5666666666666672E-3</v>
      </c>
    </row>
    <row r="7" spans="1:168">
      <c r="A7" t="s">
        <v>139</v>
      </c>
      <c r="B7" s="1" t="s">
        <v>101</v>
      </c>
      <c r="C7" s="1">
        <v>209659</v>
      </c>
      <c r="D7" s="6">
        <f t="shared" si="0"/>
        <v>233565.7</v>
      </c>
      <c r="E7" s="6">
        <f t="shared" si="1"/>
        <v>249503.5</v>
      </c>
      <c r="F7" s="1">
        <v>289348</v>
      </c>
      <c r="G7" s="1">
        <f t="shared" si="2"/>
        <v>7968.9</v>
      </c>
      <c r="H7" s="1">
        <v>1.31</v>
      </c>
      <c r="I7" s="1">
        <v>1.28</v>
      </c>
      <c r="J7" s="1">
        <v>1.22</v>
      </c>
      <c r="K7">
        <v>88894</v>
      </c>
      <c r="L7">
        <f t="shared" si="24"/>
        <v>0.42399324617593331</v>
      </c>
      <c r="M7">
        <v>107296</v>
      </c>
      <c r="N7">
        <f t="shared" si="25"/>
        <v>0.37081991235467326</v>
      </c>
      <c r="O7">
        <f t="shared" si="26"/>
        <v>-0.12541080382963485</v>
      </c>
      <c r="P7">
        <f t="shared" si="27"/>
        <v>0.17756847034949114</v>
      </c>
      <c r="Q7">
        <f t="shared" si="28"/>
        <v>0.15499072321489835</v>
      </c>
      <c r="R7">
        <f t="shared" si="29"/>
        <v>351.75593337840331</v>
      </c>
      <c r="S7">
        <f t="shared" si="30"/>
        <v>403.35284946236567</v>
      </c>
      <c r="T7">
        <f t="shared" si="31"/>
        <v>181.55073910015787</v>
      </c>
      <c r="U7">
        <v>92297.113769999996</v>
      </c>
      <c r="V7">
        <f t="shared" si="32"/>
        <v>1.9670250962838735E-3</v>
      </c>
      <c r="W7">
        <f t="shared" si="33"/>
        <v>177.12102243665066</v>
      </c>
      <c r="X7">
        <v>79429.064259999999</v>
      </c>
      <c r="Y7">
        <f t="shared" si="34"/>
        <v>2.2299270939019201E-3</v>
      </c>
      <c r="Z7" s="1">
        <v>9025</v>
      </c>
      <c r="AA7" s="1">
        <f t="shared" si="35"/>
        <v>4.30460891256755E-2</v>
      </c>
      <c r="AB7" s="1">
        <v>115348</v>
      </c>
      <c r="AC7" s="1">
        <f t="shared" si="3"/>
        <v>0.55016956104913217</v>
      </c>
      <c r="AD7" s="1">
        <v>61.278341249999997</v>
      </c>
      <c r="AE7" s="1">
        <v>12881</v>
      </c>
      <c r="AF7">
        <f t="shared" si="114"/>
        <v>1.4272576177285319</v>
      </c>
      <c r="AG7">
        <f t="shared" si="36"/>
        <v>0.11167077019107396</v>
      </c>
      <c r="AH7">
        <f t="shared" si="116"/>
        <v>8.9782058362934593E-3</v>
      </c>
      <c r="AI7">
        <v>65712</v>
      </c>
      <c r="AJ7">
        <f t="shared" si="37"/>
        <v>86082.72</v>
      </c>
      <c r="AK7">
        <f t="shared" si="4"/>
        <v>0.36855891083322595</v>
      </c>
      <c r="AL7">
        <f t="shared" si="38"/>
        <v>40.567501634999999</v>
      </c>
      <c r="AM7">
        <f t="shared" si="39"/>
        <v>9.0850778573765608E-3</v>
      </c>
      <c r="AN7">
        <v>94.07</v>
      </c>
      <c r="AO7">
        <f t="shared" si="40"/>
        <v>94070</v>
      </c>
      <c r="AP7">
        <f t="shared" si="41"/>
        <v>120409.60000000001</v>
      </c>
      <c r="AQ7">
        <f t="shared" si="5"/>
        <v>0.48259683731891539</v>
      </c>
      <c r="AR7">
        <f t="shared" si="42"/>
        <v>51.759606732800002</v>
      </c>
      <c r="AS7">
        <f t="shared" si="43"/>
        <v>9.3238119024017692E-3</v>
      </c>
      <c r="AT7" s="1">
        <v>12375</v>
      </c>
      <c r="AU7" s="1">
        <f t="shared" si="44"/>
        <v>4.2768569335194989E-2</v>
      </c>
      <c r="AV7" s="1">
        <f t="shared" si="45"/>
        <v>-6.4470384213134091E-3</v>
      </c>
      <c r="AW7" s="1">
        <v>120707</v>
      </c>
      <c r="AX7" s="1">
        <f t="shared" si="46"/>
        <v>147262.54</v>
      </c>
      <c r="AY7" s="1">
        <f t="shared" si="6"/>
        <v>0.50894611333066064</v>
      </c>
      <c r="AZ7" s="1">
        <f t="shared" si="47"/>
        <v>-7.4928623168212902E-2</v>
      </c>
      <c r="BA7" s="1">
        <f t="shared" si="48"/>
        <v>60.4858519474</v>
      </c>
      <c r="BB7" s="1">
        <v>13901</v>
      </c>
      <c r="BC7" s="1">
        <f t="shared" si="49"/>
        <v>16959.22</v>
      </c>
      <c r="BD7" s="1">
        <f t="shared" si="50"/>
        <v>1.3704420202020202</v>
      </c>
      <c r="BE7" s="1">
        <f t="shared" si="51"/>
        <v>0.11516316369390342</v>
      </c>
      <c r="BF7" s="1">
        <f t="shared" si="52"/>
        <v>8.4143001535838969E-3</v>
      </c>
      <c r="BG7" s="1">
        <v>3007</v>
      </c>
      <c r="BH7" s="1">
        <f t="shared" si="53"/>
        <v>1.4342336842205677E-2</v>
      </c>
      <c r="BI7" s="1">
        <v>59319.409</v>
      </c>
      <c r="BJ7" s="1">
        <f t="shared" si="7"/>
        <v>0.28293280517411606</v>
      </c>
      <c r="BK7" s="1">
        <v>101.2013381</v>
      </c>
      <c r="BL7" s="1">
        <v>4506.7920000000004</v>
      </c>
      <c r="BM7">
        <f t="shared" si="8"/>
        <v>1.4987668772863321</v>
      </c>
      <c r="BN7">
        <f t="shared" si="9"/>
        <v>7.5974998334862043E-2</v>
      </c>
      <c r="BO7">
        <f t="shared" si="54"/>
        <v>2.795741741028581E-3</v>
      </c>
      <c r="BP7">
        <v>43660</v>
      </c>
      <c r="BQ7">
        <f t="shared" si="55"/>
        <v>57194.600000000006</v>
      </c>
      <c r="BR7">
        <f t="shared" si="10"/>
        <v>0.24487585291847219</v>
      </c>
      <c r="BS7">
        <f t="shared" si="56"/>
        <v>59.525235619600004</v>
      </c>
      <c r="BT7">
        <f t="shared" si="57"/>
        <v>4.1138157685484469E-3</v>
      </c>
      <c r="BU7">
        <v>49.49</v>
      </c>
      <c r="BV7">
        <f t="shared" si="11"/>
        <v>49490</v>
      </c>
      <c r="BW7">
        <f t="shared" si="58"/>
        <v>63347.200000000004</v>
      </c>
      <c r="BX7">
        <f t="shared" si="12"/>
        <v>0.25389303156067955</v>
      </c>
      <c r="BY7">
        <f t="shared" si="59"/>
        <v>76.247206297600002</v>
      </c>
      <c r="BZ7">
        <f t="shared" si="60"/>
        <v>3.3298666782584953E-3</v>
      </c>
      <c r="CA7" s="1">
        <v>4301</v>
      </c>
      <c r="CB7" s="1">
        <f t="shared" si="61"/>
        <v>1.4864453875609992E-2</v>
      </c>
      <c r="CC7" s="1">
        <f t="shared" si="62"/>
        <v>3.6403902596114146E-2</v>
      </c>
      <c r="CD7" s="1">
        <v>65351</v>
      </c>
      <c r="CE7" s="1">
        <f t="shared" si="63"/>
        <v>79728.22</v>
      </c>
      <c r="CF7">
        <f t="shared" si="13"/>
        <v>0.27554439636700445</v>
      </c>
      <c r="CG7">
        <f t="shared" si="64"/>
        <v>-2.6113651976711595E-2</v>
      </c>
      <c r="CH7">
        <f t="shared" si="65"/>
        <v>90.917938902799989</v>
      </c>
      <c r="CI7" s="1">
        <v>5411</v>
      </c>
      <c r="CJ7" s="1">
        <f t="shared" si="66"/>
        <v>6601.42</v>
      </c>
      <c r="CK7">
        <f t="shared" si="67"/>
        <v>1.534857009997675</v>
      </c>
      <c r="CL7">
        <f t="shared" si="68"/>
        <v>8.2799039035362884E-2</v>
      </c>
      <c r="CM7">
        <f t="shared" si="69"/>
        <v>3.0306933889206163E-3</v>
      </c>
      <c r="CN7" s="1">
        <v>4239</v>
      </c>
      <c r="CO7" s="1">
        <f t="shared" si="70"/>
        <v>2.0218545352214786E-2</v>
      </c>
      <c r="CP7" s="1">
        <v>37889079</v>
      </c>
      <c r="CQ7" s="1">
        <f t="shared" si="14"/>
        <v>180.71763673393463</v>
      </c>
      <c r="CR7" s="1">
        <v>108123.0123</v>
      </c>
      <c r="CS7" s="1">
        <v>5706033</v>
      </c>
      <c r="CT7">
        <f t="shared" si="71"/>
        <v>1346.0799716914366</v>
      </c>
      <c r="CU7">
        <f t="shared" si="72"/>
        <v>0.15059835579534672</v>
      </c>
      <c r="CV7">
        <f t="shared" si="73"/>
        <v>1.6714077132119877E-3</v>
      </c>
      <c r="CW7" s="1">
        <v>6016</v>
      </c>
      <c r="CX7" s="1">
        <f t="shared" si="74"/>
        <v>2.0791572777416813E-2</v>
      </c>
      <c r="CY7" s="1">
        <f t="shared" si="75"/>
        <v>2.834167420156445E-2</v>
      </c>
      <c r="CZ7" s="1">
        <v>41821822</v>
      </c>
      <c r="DA7" s="1">
        <f t="shared" si="15"/>
        <v>51022622.839999996</v>
      </c>
      <c r="DB7" s="1">
        <f t="shared" si="16"/>
        <v>176.336531926953</v>
      </c>
      <c r="DC7" s="1">
        <f t="shared" si="76"/>
        <v>-2.4242818167392259E-2</v>
      </c>
      <c r="DD7" s="1">
        <f t="shared" si="77"/>
        <v>93954.54819500001</v>
      </c>
      <c r="DE7" s="1">
        <v>7483051</v>
      </c>
      <c r="DF7" s="1">
        <f t="shared" si="78"/>
        <v>9129322.2200000007</v>
      </c>
      <c r="DG7">
        <f t="shared" si="79"/>
        <v>1517.5070179521279</v>
      </c>
      <c r="DH7">
        <f t="shared" si="80"/>
        <v>0.17892694871112982</v>
      </c>
      <c r="DI7">
        <f t="shared" si="81"/>
        <v>1.8768280547842293E-3</v>
      </c>
      <c r="DJ7" s="1">
        <v>8616195</v>
      </c>
      <c r="DK7">
        <f t="shared" si="17"/>
        <v>41.096232453650927</v>
      </c>
      <c r="DL7">
        <v>1889.3069949999999</v>
      </c>
      <c r="DM7" s="1">
        <v>2565465</v>
      </c>
      <c r="DN7" s="3">
        <f t="shared" si="82"/>
        <v>2.1752014131324871E-2</v>
      </c>
      <c r="DO7" s="1">
        <v>6397359</v>
      </c>
      <c r="DP7" s="1">
        <f t="shared" si="83"/>
        <v>7804777.9799999995</v>
      </c>
      <c r="DQ7" s="3">
        <f t="shared" si="18"/>
        <v>26.973671772398632</v>
      </c>
      <c r="DR7" s="3">
        <f t="shared" si="84"/>
        <v>1905.8896083399998</v>
      </c>
      <c r="DS7" s="3">
        <f t="shared" si="85"/>
        <v>4102686.3967876332</v>
      </c>
      <c r="DT7" s="3">
        <f t="shared" si="86"/>
        <v>1.415279859566068E-2</v>
      </c>
      <c r="DU7" s="3">
        <f t="shared" si="87"/>
        <v>1.599197960910647</v>
      </c>
      <c r="DV7" s="3">
        <f t="shared" si="88"/>
        <v>478.23638552812986</v>
      </c>
      <c r="DW7" s="3">
        <f t="shared" si="89"/>
        <v>0.11918887929361315</v>
      </c>
      <c r="DX7" s="3">
        <f t="shared" si="90"/>
        <v>46679941.409000002</v>
      </c>
      <c r="DY7" s="3">
        <f t="shared" si="91"/>
        <v>222.64697155380881</v>
      </c>
      <c r="DZ7" s="3">
        <f t="shared" si="92"/>
        <v>46505274</v>
      </c>
      <c r="EA7" s="3">
        <f t="shared" si="93"/>
        <v>143277.32</v>
      </c>
      <c r="EB7" s="3">
        <f t="shared" si="94"/>
        <v>0.61343476375169814</v>
      </c>
      <c r="EC7" s="3">
        <f t="shared" si="95"/>
        <v>183756.80000000002</v>
      </c>
      <c r="ED7" s="3">
        <f t="shared" si="96"/>
        <v>0.736489868879595</v>
      </c>
      <c r="EE7" s="9">
        <f t="shared" si="97"/>
        <v>59054391.579999991</v>
      </c>
      <c r="EF7" s="13">
        <f t="shared" si="98"/>
        <v>204.09469420904927</v>
      </c>
      <c r="EG7" s="14">
        <f t="shared" si="99"/>
        <v>-8.3325981104916458E-2</v>
      </c>
      <c r="EH7" s="9">
        <f t="shared" si="100"/>
        <v>58827400.819999993</v>
      </c>
      <c r="EI7" s="10">
        <v>402840</v>
      </c>
      <c r="EJ7" s="10">
        <f t="shared" si="19"/>
        <v>527720.4</v>
      </c>
      <c r="EK7" s="10">
        <f t="shared" si="101"/>
        <v>2.259408808742037</v>
      </c>
      <c r="EL7" s="10">
        <v>521000</v>
      </c>
      <c r="EM7" s="10">
        <f t="shared" si="20"/>
        <v>666880</v>
      </c>
      <c r="EN7" s="10">
        <f t="shared" si="102"/>
        <v>2.6728282368784404</v>
      </c>
      <c r="EO7" s="11">
        <v>2717419</v>
      </c>
      <c r="EP7" s="11">
        <f t="shared" si="21"/>
        <v>3315251.1799999997</v>
      </c>
      <c r="EQ7" s="11">
        <f t="shared" si="103"/>
        <v>11.457660602457938</v>
      </c>
      <c r="ER7" s="10">
        <f t="shared" si="104"/>
        <v>16.389897648078417</v>
      </c>
      <c r="ES7" s="10">
        <f t="shared" si="115"/>
        <v>4.971285958493282</v>
      </c>
      <c r="ET7" s="12">
        <v>250862</v>
      </c>
      <c r="EU7" s="12">
        <f t="shared" si="22"/>
        <v>328629.22000000003</v>
      </c>
      <c r="EV7" s="12">
        <f t="shared" si="105"/>
        <v>1.4070097621354507</v>
      </c>
      <c r="EW7" s="10">
        <v>25000</v>
      </c>
      <c r="EX7" s="10">
        <f t="shared" si="23"/>
        <v>32000</v>
      </c>
      <c r="EY7" s="10">
        <f t="shared" si="106"/>
        <v>0.1282547138617294</v>
      </c>
      <c r="EZ7" s="3">
        <f t="shared" si="107"/>
        <v>124282.14896233205</v>
      </c>
      <c r="FA7" s="3">
        <f t="shared" si="108"/>
        <v>0.42952482464828529</v>
      </c>
      <c r="FB7" s="3">
        <f t="shared" si="109"/>
        <v>1.9647893006454653</v>
      </c>
      <c r="FC7" s="1">
        <f t="shared" si="110"/>
        <v>3.9722999999999997</v>
      </c>
      <c r="FD7">
        <f>39.8/10</f>
        <v>3.9799999999999995</v>
      </c>
      <c r="FE7">
        <f>5.1</f>
        <v>5.0999999999999996</v>
      </c>
      <c r="FF7" s="7">
        <f t="shared" si="111"/>
        <v>7.9</v>
      </c>
      <c r="FG7" s="1">
        <f t="shared" si="112"/>
        <v>0.56000000000000005</v>
      </c>
      <c r="FH7">
        <v>2.63E-2</v>
      </c>
      <c r="FI7">
        <v>3.4000000000000002E-2</v>
      </c>
      <c r="FJ7">
        <v>4.41E-2</v>
      </c>
      <c r="FK7">
        <v>4.0899999999999999E-2</v>
      </c>
      <c r="FL7" s="1">
        <f t="shared" si="113"/>
        <v>2.5666666666666672E-3</v>
      </c>
    </row>
    <row r="8" spans="1:168">
      <c r="A8" t="s">
        <v>139</v>
      </c>
      <c r="B8" s="1" t="s">
        <v>102</v>
      </c>
      <c r="C8" s="1">
        <v>634394</v>
      </c>
      <c r="D8" s="6">
        <f t="shared" si="0"/>
        <v>634436.6</v>
      </c>
      <c r="E8" s="6">
        <f t="shared" si="1"/>
        <v>634465</v>
      </c>
      <c r="F8" s="1">
        <v>634536</v>
      </c>
      <c r="G8" s="1">
        <f t="shared" si="2"/>
        <v>14.2</v>
      </c>
      <c r="H8" s="1">
        <v>1.31</v>
      </c>
      <c r="I8" s="1">
        <v>1.28</v>
      </c>
      <c r="J8" s="1">
        <v>1.22</v>
      </c>
      <c r="K8">
        <v>333562</v>
      </c>
      <c r="L8">
        <f t="shared" si="24"/>
        <v>0.52579627171757615</v>
      </c>
      <c r="M8">
        <v>271306</v>
      </c>
      <c r="N8">
        <f t="shared" si="25"/>
        <v>0.42756596946430148</v>
      </c>
      <c r="O8">
        <f t="shared" si="26"/>
        <v>-0.18682198322250115</v>
      </c>
      <c r="P8">
        <f t="shared" si="27"/>
        <v>0.14042718450591826</v>
      </c>
      <c r="Q8">
        <f t="shared" si="28"/>
        <v>0.14199481874224748</v>
      </c>
      <c r="R8">
        <f t="shared" si="29"/>
        <v>535.61690600012594</v>
      </c>
      <c r="S8">
        <f t="shared" si="30"/>
        <v>491.95235907578888</v>
      </c>
      <c r="T8">
        <f t="shared" si="31"/>
        <v>766.03995931865677</v>
      </c>
      <c r="U8">
        <v>92297.113769999996</v>
      </c>
      <c r="V8">
        <f t="shared" si="32"/>
        <v>8.2997173804111781E-3</v>
      </c>
      <c r="W8">
        <f t="shared" si="33"/>
        <v>605.66594257851398</v>
      </c>
      <c r="X8">
        <v>79429.064259999999</v>
      </c>
      <c r="Y8">
        <f t="shared" si="34"/>
        <v>7.6252433315335396E-3</v>
      </c>
      <c r="Z8" s="1">
        <v>44037</v>
      </c>
      <c r="AA8" s="1">
        <f t="shared" si="35"/>
        <v>6.941585197842351E-2</v>
      </c>
      <c r="AB8" s="1">
        <v>474683</v>
      </c>
      <c r="AC8" s="1">
        <f t="shared" si="3"/>
        <v>0.74824635794159466</v>
      </c>
      <c r="AD8" s="1">
        <v>61.278341249999997</v>
      </c>
      <c r="AE8" s="1">
        <v>68109</v>
      </c>
      <c r="AF8">
        <f t="shared" si="114"/>
        <v>1.546631241910212</v>
      </c>
      <c r="AG8">
        <f t="shared" si="36"/>
        <v>0.14348312452731612</v>
      </c>
      <c r="AH8">
        <f t="shared" si="116"/>
        <v>1.2210617041491715E-2</v>
      </c>
      <c r="AI8">
        <v>254075</v>
      </c>
      <c r="AJ8">
        <f t="shared" si="37"/>
        <v>332838.25</v>
      </c>
      <c r="AK8">
        <f t="shared" si="4"/>
        <v>0.52462019057538611</v>
      </c>
      <c r="AL8">
        <f t="shared" si="38"/>
        <v>40.567501634999999</v>
      </c>
      <c r="AM8">
        <f t="shared" si="39"/>
        <v>1.2932031045332233E-2</v>
      </c>
      <c r="AN8">
        <v>298.37</v>
      </c>
      <c r="AO8">
        <f t="shared" si="40"/>
        <v>298370</v>
      </c>
      <c r="AP8">
        <f t="shared" si="41"/>
        <v>381913.60000000003</v>
      </c>
      <c r="AQ8">
        <f t="shared" si="5"/>
        <v>0.60194589142033061</v>
      </c>
      <c r="AR8">
        <f t="shared" si="42"/>
        <v>51.759606732800002</v>
      </c>
      <c r="AS8">
        <f t="shared" si="43"/>
        <v>1.16296457685193E-2</v>
      </c>
      <c r="AT8" s="1">
        <v>44829</v>
      </c>
      <c r="AU8" s="1">
        <f t="shared" si="44"/>
        <v>7.0648473845455584E-2</v>
      </c>
      <c r="AV8" s="1">
        <f t="shared" si="45"/>
        <v>1.7757066028883568E-2</v>
      </c>
      <c r="AW8" s="1">
        <v>383554</v>
      </c>
      <c r="AX8" s="1">
        <f t="shared" si="46"/>
        <v>467935.88</v>
      </c>
      <c r="AY8" s="1">
        <f t="shared" si="6"/>
        <v>0.73744575563876602</v>
      </c>
      <c r="AZ8" s="1">
        <f t="shared" si="47"/>
        <v>-1.4434553791268435E-2</v>
      </c>
      <c r="BA8" s="1">
        <f t="shared" si="48"/>
        <v>60.4858519474</v>
      </c>
      <c r="BB8" s="1">
        <v>58135</v>
      </c>
      <c r="BC8" s="1">
        <f t="shared" si="49"/>
        <v>70924.7</v>
      </c>
      <c r="BD8" s="1">
        <f t="shared" si="50"/>
        <v>1.582116487095407</v>
      </c>
      <c r="BE8" s="1">
        <f t="shared" si="51"/>
        <v>0.15156927055903471</v>
      </c>
      <c r="BF8" s="1">
        <f t="shared" si="52"/>
        <v>1.2192037177223976E-2</v>
      </c>
      <c r="BG8" s="1">
        <v>37545</v>
      </c>
      <c r="BH8" s="1">
        <f t="shared" si="53"/>
        <v>5.9182463894677441E-2</v>
      </c>
      <c r="BI8" s="1">
        <v>1784174.952</v>
      </c>
      <c r="BJ8" s="1">
        <f t="shared" si="7"/>
        <v>2.8124083014656507</v>
      </c>
      <c r="BK8" s="1">
        <v>101.2013381</v>
      </c>
      <c r="BL8" s="1">
        <v>77535.543999999994</v>
      </c>
      <c r="BM8">
        <f t="shared" si="8"/>
        <v>2.0651363430550007</v>
      </c>
      <c r="BN8">
        <f t="shared" si="9"/>
        <v>4.3457366057675709E-2</v>
      </c>
      <c r="BO8">
        <f t="shared" si="54"/>
        <v>2.7790228412658217E-2</v>
      </c>
      <c r="BP8">
        <v>911749</v>
      </c>
      <c r="BQ8">
        <f t="shared" si="55"/>
        <v>1194391.19</v>
      </c>
      <c r="BR8">
        <f t="shared" si="10"/>
        <v>1.8826013347905843</v>
      </c>
      <c r="BS8">
        <f t="shared" si="56"/>
        <v>59.525235619600004</v>
      </c>
      <c r="BT8">
        <f t="shared" si="57"/>
        <v>3.1626944693196581E-2</v>
      </c>
      <c r="BU8">
        <v>1149.8599999999999</v>
      </c>
      <c r="BV8">
        <f t="shared" si="11"/>
        <v>1149860</v>
      </c>
      <c r="BW8">
        <f t="shared" si="58"/>
        <v>1471820.8</v>
      </c>
      <c r="BX8">
        <f t="shared" si="12"/>
        <v>2.3197824939121938</v>
      </c>
      <c r="BY8">
        <f t="shared" si="59"/>
        <v>76.247206297600002</v>
      </c>
      <c r="BZ8">
        <f t="shared" si="60"/>
        <v>3.042449168377219E-2</v>
      </c>
      <c r="CA8" s="1">
        <v>34612</v>
      </c>
      <c r="CB8" s="1">
        <f t="shared" si="61"/>
        <v>5.4546944539001725E-2</v>
      </c>
      <c r="CC8" s="1">
        <f t="shared" si="62"/>
        <v>-7.8325893357958185E-2</v>
      </c>
      <c r="CD8" s="1">
        <v>1377614</v>
      </c>
      <c r="CE8" s="1">
        <f t="shared" si="63"/>
        <v>1680689.08</v>
      </c>
      <c r="CF8">
        <f t="shared" si="13"/>
        <v>2.6486898773276852</v>
      </c>
      <c r="CG8">
        <f t="shared" si="64"/>
        <v>-5.8212893217761331E-2</v>
      </c>
      <c r="CH8">
        <f t="shared" si="65"/>
        <v>90.917938902799989</v>
      </c>
      <c r="CI8" s="1">
        <v>70999</v>
      </c>
      <c r="CJ8" s="1">
        <f t="shared" si="66"/>
        <v>86618.78</v>
      </c>
      <c r="CK8">
        <f t="shared" si="67"/>
        <v>2.5025650063561771</v>
      </c>
      <c r="CL8">
        <f t="shared" si="68"/>
        <v>5.153765858941619E-2</v>
      </c>
      <c r="CM8">
        <f t="shared" si="69"/>
        <v>2.9132753220015128E-2</v>
      </c>
      <c r="CN8" s="1">
        <v>45482</v>
      </c>
      <c r="CO8" s="1">
        <f t="shared" si="70"/>
        <v>7.1693616270015165E-2</v>
      </c>
      <c r="CP8" s="1">
        <v>483712296</v>
      </c>
      <c r="CQ8" s="1">
        <f t="shared" si="14"/>
        <v>762.47930465924958</v>
      </c>
      <c r="CR8" s="1">
        <v>108123.0123</v>
      </c>
      <c r="CS8" s="1">
        <v>67911982</v>
      </c>
      <c r="CT8">
        <f t="shared" si="71"/>
        <v>1493.1617343124753</v>
      </c>
      <c r="CU8">
        <f t="shared" si="72"/>
        <v>0.14039746882928111</v>
      </c>
      <c r="CV8">
        <f t="shared" si="73"/>
        <v>7.0519613580840787E-3</v>
      </c>
      <c r="CW8" s="1">
        <v>31789</v>
      </c>
      <c r="CX8" s="1">
        <f t="shared" si="74"/>
        <v>5.0098024383171326E-2</v>
      </c>
      <c r="CY8" s="1">
        <f t="shared" si="75"/>
        <v>-0.30122056900449429</v>
      </c>
      <c r="CZ8" s="1">
        <v>313252639</v>
      </c>
      <c r="DA8" s="1">
        <f t="shared" si="15"/>
        <v>382168219.57999998</v>
      </c>
      <c r="DB8" s="1">
        <f t="shared" si="16"/>
        <v>602.27980694554753</v>
      </c>
      <c r="DC8" s="1">
        <f t="shared" si="76"/>
        <v>-0.2101034044265567</v>
      </c>
      <c r="DD8" s="1">
        <f t="shared" si="77"/>
        <v>93954.54819500001</v>
      </c>
      <c r="DE8" s="1">
        <v>44723211</v>
      </c>
      <c r="DF8" s="1">
        <f t="shared" si="78"/>
        <v>54562317.420000002</v>
      </c>
      <c r="DG8">
        <f t="shared" si="79"/>
        <v>1716.3898650476581</v>
      </c>
      <c r="DH8">
        <f t="shared" si="80"/>
        <v>0.14277042052309735</v>
      </c>
      <c r="DI8">
        <f t="shared" si="81"/>
        <v>6.4103315753861407E-3</v>
      </c>
      <c r="DJ8" s="1">
        <v>276048</v>
      </c>
      <c r="DK8">
        <f t="shared" si="17"/>
        <v>0.43513652398982333</v>
      </c>
      <c r="DL8">
        <v>1889.3069949999999</v>
      </c>
      <c r="DM8" s="1">
        <v>224699</v>
      </c>
      <c r="DN8" s="3">
        <f t="shared" si="82"/>
        <v>2.3031541466865914E-4</v>
      </c>
      <c r="DO8" s="1">
        <v>859303</v>
      </c>
      <c r="DP8" s="1">
        <f t="shared" si="83"/>
        <v>1048349.66</v>
      </c>
      <c r="DQ8" s="3">
        <f t="shared" si="18"/>
        <v>1.6521515879319693</v>
      </c>
      <c r="DR8" s="3">
        <f t="shared" si="84"/>
        <v>1905.8896083399998</v>
      </c>
      <c r="DS8" s="3">
        <f t="shared" si="85"/>
        <v>180663.04466876941</v>
      </c>
      <c r="DT8" s="3">
        <f t="shared" si="86"/>
        <v>8.6686636030875244E-4</v>
      </c>
      <c r="DU8" s="3">
        <f t="shared" si="87"/>
        <v>0.80402246858583892</v>
      </c>
      <c r="DV8" s="3">
        <f t="shared" si="88"/>
        <v>536.20800807309172</v>
      </c>
      <c r="DW8" s="3">
        <f t="shared" si="89"/>
        <v>0.11220255151430353</v>
      </c>
      <c r="DX8" s="3">
        <f t="shared" si="90"/>
        <v>486247201.95200002</v>
      </c>
      <c r="DY8" s="3">
        <f t="shared" si="91"/>
        <v>766.47509584264674</v>
      </c>
      <c r="DZ8" s="3">
        <f t="shared" si="92"/>
        <v>483988344</v>
      </c>
      <c r="EA8" s="3">
        <f t="shared" si="93"/>
        <v>1527229.4399999999</v>
      </c>
      <c r="EB8" s="3">
        <f t="shared" si="94"/>
        <v>2.4072215253659706</v>
      </c>
      <c r="EC8" s="3">
        <f t="shared" si="95"/>
        <v>1853734.4000000001</v>
      </c>
      <c r="ED8" s="3">
        <f t="shared" si="96"/>
        <v>2.9217283853325244</v>
      </c>
      <c r="EE8" s="9">
        <f t="shared" si="97"/>
        <v>385365194.19999999</v>
      </c>
      <c r="EF8" s="13">
        <f t="shared" si="98"/>
        <v>607.31809416644603</v>
      </c>
      <c r="EG8" s="14">
        <f t="shared" si="99"/>
        <v>-0.20764797517814565</v>
      </c>
      <c r="EH8" s="9">
        <f t="shared" si="100"/>
        <v>383216569.24000001</v>
      </c>
      <c r="EI8" s="10">
        <v>1176259</v>
      </c>
      <c r="EJ8" s="10">
        <f t="shared" si="19"/>
        <v>1540899.29</v>
      </c>
      <c r="EK8" s="10">
        <f t="shared" si="101"/>
        <v>2.4287679651520735</v>
      </c>
      <c r="EL8" s="10">
        <v>1362000</v>
      </c>
      <c r="EM8" s="10">
        <f t="shared" si="20"/>
        <v>1743360</v>
      </c>
      <c r="EN8" s="10">
        <f t="shared" si="102"/>
        <v>2.7477638640429336</v>
      </c>
      <c r="EO8" s="11">
        <v>9141130</v>
      </c>
      <c r="EP8" s="11">
        <f t="shared" si="21"/>
        <v>11152178.6</v>
      </c>
      <c r="EQ8" s="11">
        <f t="shared" si="103"/>
        <v>17.575328428962266</v>
      </c>
      <c r="ER8" s="10">
        <f t="shared" si="104"/>
        <v>22.751860258157272</v>
      </c>
      <c r="ES8" s="10">
        <f t="shared" si="115"/>
        <v>6.3969453239720995</v>
      </c>
      <c r="ET8" s="12">
        <v>17828</v>
      </c>
      <c r="EU8" s="12">
        <f t="shared" si="22"/>
        <v>23354.68</v>
      </c>
      <c r="EV8" s="12">
        <f t="shared" si="105"/>
        <v>3.6811684571791729E-2</v>
      </c>
      <c r="EW8" s="10">
        <v>1000</v>
      </c>
      <c r="EX8" s="10">
        <f t="shared" si="23"/>
        <v>1280</v>
      </c>
      <c r="EY8" s="10">
        <f t="shared" si="106"/>
        <v>2.0174477709566326E-3</v>
      </c>
      <c r="EZ8" s="3">
        <f t="shared" si="107"/>
        <v>6396.9453239720997</v>
      </c>
      <c r="FA8" s="3">
        <f t="shared" si="108"/>
        <v>1.0081296134454309E-2</v>
      </c>
      <c r="FB8" s="3">
        <f t="shared" si="109"/>
        <v>4.8910428477202672E-2</v>
      </c>
      <c r="FC8" s="1">
        <f t="shared" si="110"/>
        <v>10.5623</v>
      </c>
      <c r="FD8">
        <f>105.7/10</f>
        <v>10.57</v>
      </c>
      <c r="FE8">
        <f>12.7</f>
        <v>12.7</v>
      </c>
      <c r="FF8" s="7">
        <f t="shared" si="111"/>
        <v>18.024999999999999</v>
      </c>
      <c r="FG8" s="1">
        <f t="shared" si="112"/>
        <v>1.0649999999999995</v>
      </c>
      <c r="FH8">
        <v>2.63E-2</v>
      </c>
      <c r="FI8">
        <v>3.4000000000000002E-2</v>
      </c>
      <c r="FJ8">
        <v>4.41E-2</v>
      </c>
      <c r="FK8">
        <v>4.0899999999999999E-2</v>
      </c>
      <c r="FL8" s="1">
        <f t="shared" si="113"/>
        <v>2.5666666666666672E-3</v>
      </c>
    </row>
    <row r="9" spans="1:168">
      <c r="A9" t="s">
        <v>137</v>
      </c>
      <c r="B9" s="1" t="s">
        <v>96</v>
      </c>
      <c r="C9" s="1">
        <v>287861</v>
      </c>
      <c r="D9" s="6">
        <f t="shared" si="0"/>
        <v>298226.3</v>
      </c>
      <c r="E9" s="6">
        <f t="shared" si="1"/>
        <v>305136.5</v>
      </c>
      <c r="F9" s="1">
        <v>322412</v>
      </c>
      <c r="G9" s="1">
        <f t="shared" si="2"/>
        <v>3455.1</v>
      </c>
      <c r="H9" s="1">
        <v>1.31</v>
      </c>
      <c r="I9" s="1">
        <v>1.28</v>
      </c>
      <c r="J9" s="1">
        <v>1.22</v>
      </c>
      <c r="K9">
        <v>130408</v>
      </c>
      <c r="L9">
        <f t="shared" si="24"/>
        <v>0.45302420265336396</v>
      </c>
      <c r="M9">
        <v>116688</v>
      </c>
      <c r="N9">
        <f t="shared" si="25"/>
        <v>0.36192201282830666</v>
      </c>
      <c r="O9">
        <f t="shared" si="26"/>
        <v>-0.20109784265712854</v>
      </c>
      <c r="P9">
        <f t="shared" si="27"/>
        <v>0.14537552835612433</v>
      </c>
      <c r="Q9">
        <f t="shared" si="28"/>
        <v>0.12373005772491809</v>
      </c>
      <c r="R9">
        <f t="shared" si="29"/>
        <v>453.49309219382349</v>
      </c>
      <c r="S9">
        <f t="shared" si="30"/>
        <v>382.39929284235507</v>
      </c>
      <c r="T9">
        <f t="shared" si="31"/>
        <v>504.42295092075688</v>
      </c>
      <c r="U9">
        <v>92297.113769999996</v>
      </c>
      <c r="V9">
        <f t="shared" si="32"/>
        <v>5.4652082856865361E-3</v>
      </c>
      <c r="W9">
        <f t="shared" si="33"/>
        <v>409.55514881580092</v>
      </c>
      <c r="X9">
        <v>79429.064259999999</v>
      </c>
      <c r="Y9">
        <f t="shared" si="34"/>
        <v>5.1562378662195875E-3</v>
      </c>
      <c r="Z9" s="1">
        <v>19404</v>
      </c>
      <c r="AA9" s="1">
        <f t="shared" si="35"/>
        <v>6.7407533497069766E-2</v>
      </c>
      <c r="AB9" s="1">
        <v>194163</v>
      </c>
      <c r="AC9" s="1">
        <f t="shared" si="3"/>
        <v>0.6745026245305894</v>
      </c>
      <c r="AD9" s="1">
        <v>61.278341249999997</v>
      </c>
      <c r="AE9" s="1">
        <v>25587</v>
      </c>
      <c r="AF9">
        <f t="shared" si="114"/>
        <v>1.3186456400742115</v>
      </c>
      <c r="AG9">
        <f t="shared" si="36"/>
        <v>0.13178102934132663</v>
      </c>
      <c r="AH9">
        <f t="shared" si="116"/>
        <v>1.1007194561269059E-2</v>
      </c>
      <c r="AI9">
        <v>106553</v>
      </c>
      <c r="AJ9">
        <f t="shared" si="37"/>
        <v>139584.43</v>
      </c>
      <c r="AK9">
        <f t="shared" si="4"/>
        <v>0.46804869322390413</v>
      </c>
      <c r="AL9">
        <f t="shared" si="38"/>
        <v>40.567501634999999</v>
      </c>
      <c r="AM9">
        <f t="shared" si="39"/>
        <v>1.1537528177976103E-2</v>
      </c>
      <c r="AN9">
        <v>127.5</v>
      </c>
      <c r="AO9">
        <f t="shared" si="40"/>
        <v>127500</v>
      </c>
      <c r="AP9">
        <f t="shared" si="41"/>
        <v>163200</v>
      </c>
      <c r="AQ9">
        <f t="shared" si="5"/>
        <v>0.53484260322839128</v>
      </c>
      <c r="AR9">
        <f t="shared" si="42"/>
        <v>51.759606732800002</v>
      </c>
      <c r="AS9">
        <f t="shared" si="43"/>
        <v>1.0333204539003233E-2</v>
      </c>
      <c r="AT9" s="1">
        <v>21582</v>
      </c>
      <c r="AU9" s="1">
        <f t="shared" si="44"/>
        <v>6.693919581157029E-2</v>
      </c>
      <c r="AV9" s="1">
        <f t="shared" si="45"/>
        <v>-6.9478537665205436E-3</v>
      </c>
      <c r="AW9" s="1">
        <v>177963</v>
      </c>
      <c r="AX9" s="1">
        <f t="shared" si="46"/>
        <v>217114.86</v>
      </c>
      <c r="AY9" s="1">
        <f t="shared" si="6"/>
        <v>0.67340812376710535</v>
      </c>
      <c r="AZ9" s="1">
        <f t="shared" si="47"/>
        <v>-1.6226782871982958E-3</v>
      </c>
      <c r="BA9" s="1">
        <f t="shared" si="48"/>
        <v>60.4858519474</v>
      </c>
      <c r="BB9" s="1">
        <v>22332</v>
      </c>
      <c r="BC9" s="1">
        <f t="shared" si="49"/>
        <v>27245.040000000001</v>
      </c>
      <c r="BD9" s="1">
        <f t="shared" si="50"/>
        <v>1.2623964414790103</v>
      </c>
      <c r="BE9" s="1">
        <f t="shared" si="51"/>
        <v>0.12548675848350502</v>
      </c>
      <c r="BF9" s="1">
        <f t="shared" si="52"/>
        <v>1.1133316339045993E-2</v>
      </c>
      <c r="BG9" s="1">
        <v>10564</v>
      </c>
      <c r="BH9" s="1">
        <f t="shared" si="53"/>
        <v>3.6698267566638063E-2</v>
      </c>
      <c r="BI9" s="1">
        <v>395958.07500000001</v>
      </c>
      <c r="BJ9" s="1">
        <f t="shared" si="7"/>
        <v>1.3755183057100475</v>
      </c>
      <c r="BK9" s="1">
        <v>101.2013381</v>
      </c>
      <c r="BL9" s="1">
        <v>18343.311000000002</v>
      </c>
      <c r="BM9">
        <f t="shared" si="8"/>
        <v>1.7363982393032944</v>
      </c>
      <c r="BN9">
        <f t="shared" si="9"/>
        <v>4.632639705605196E-2</v>
      </c>
      <c r="BO9">
        <f t="shared" si="54"/>
        <v>1.359189840307109E-2</v>
      </c>
      <c r="BP9">
        <v>182368</v>
      </c>
      <c r="BQ9">
        <f t="shared" si="55"/>
        <v>238902.08000000002</v>
      </c>
      <c r="BR9">
        <f t="shared" si="10"/>
        <v>0.80107649794803482</v>
      </c>
      <c r="BS9">
        <f t="shared" si="56"/>
        <v>59.525235619600004</v>
      </c>
      <c r="BT9">
        <f t="shared" si="57"/>
        <v>1.3457762738939292E-2</v>
      </c>
      <c r="BU9">
        <v>261.58999999999997</v>
      </c>
      <c r="BV9">
        <f t="shared" si="11"/>
        <v>261589.99999999997</v>
      </c>
      <c r="BW9">
        <f t="shared" si="58"/>
        <v>334835.19999999995</v>
      </c>
      <c r="BX9">
        <f t="shared" si="12"/>
        <v>1.097329228066783</v>
      </c>
      <c r="BY9">
        <f t="shared" si="59"/>
        <v>76.247206297600002</v>
      </c>
      <c r="BZ9">
        <f t="shared" si="60"/>
        <v>1.4391730285616028E-2</v>
      </c>
      <c r="CA9" s="1">
        <v>9930</v>
      </c>
      <c r="CB9" s="1">
        <f t="shared" si="61"/>
        <v>3.0799101770405568E-2</v>
      </c>
      <c r="CC9" s="1">
        <f t="shared" si="62"/>
        <v>-0.16074780057452501</v>
      </c>
      <c r="CD9" s="1">
        <v>340989</v>
      </c>
      <c r="CE9" s="1">
        <f t="shared" si="63"/>
        <v>416006.58</v>
      </c>
      <c r="CF9">
        <f t="shared" si="13"/>
        <v>1.2902949642072876</v>
      </c>
      <c r="CG9">
        <f t="shared" si="64"/>
        <v>-6.1957257238221417E-2</v>
      </c>
      <c r="CH9">
        <f t="shared" si="65"/>
        <v>90.917938902799989</v>
      </c>
      <c r="CI9" s="1">
        <v>16408</v>
      </c>
      <c r="CJ9" s="1">
        <f t="shared" si="66"/>
        <v>20017.759999999998</v>
      </c>
      <c r="CK9">
        <f t="shared" si="67"/>
        <v>2.0158872104733132</v>
      </c>
      <c r="CL9">
        <f t="shared" si="68"/>
        <v>4.811885427389153E-2</v>
      </c>
      <c r="CM9">
        <f t="shared" si="69"/>
        <v>1.4191863341586933E-2</v>
      </c>
      <c r="CN9" s="1">
        <v>16239</v>
      </c>
      <c r="CO9" s="1">
        <f t="shared" si="70"/>
        <v>5.6412643602294164E-2</v>
      </c>
      <c r="CP9" s="1">
        <v>144613574</v>
      </c>
      <c r="CQ9" s="1">
        <f t="shared" si="14"/>
        <v>502.37292999051624</v>
      </c>
      <c r="CR9" s="1">
        <v>108123.0123</v>
      </c>
      <c r="CS9" s="1">
        <v>20910625</v>
      </c>
      <c r="CT9">
        <f t="shared" si="71"/>
        <v>1287.6793521768582</v>
      </c>
      <c r="CU9">
        <f t="shared" si="72"/>
        <v>0.14459655772009342</v>
      </c>
      <c r="CV9">
        <f t="shared" si="73"/>
        <v>4.6463090447075549E-3</v>
      </c>
      <c r="CW9" s="1">
        <v>11477</v>
      </c>
      <c r="CX9" s="1">
        <f t="shared" si="74"/>
        <v>3.5597310273811147E-2</v>
      </c>
      <c r="CY9" s="1">
        <f t="shared" si="75"/>
        <v>-0.36898347603118725</v>
      </c>
      <c r="CZ9" s="1">
        <v>107715060</v>
      </c>
      <c r="DA9" s="1">
        <f t="shared" si="15"/>
        <v>131412373.2</v>
      </c>
      <c r="DB9" s="1">
        <f t="shared" si="16"/>
        <v>407.59144572782651</v>
      </c>
      <c r="DC9" s="1">
        <f t="shared" si="76"/>
        <v>-0.18866757861431549</v>
      </c>
      <c r="DD9" s="1">
        <f t="shared" si="77"/>
        <v>93954.54819500001</v>
      </c>
      <c r="DE9" s="1">
        <v>13435820</v>
      </c>
      <c r="DF9" s="1">
        <f t="shared" si="78"/>
        <v>16391700.4</v>
      </c>
      <c r="DG9">
        <f t="shared" si="79"/>
        <v>1428.2216955650431</v>
      </c>
      <c r="DH9">
        <f t="shared" si="80"/>
        <v>0.12473483280796575</v>
      </c>
      <c r="DI9">
        <f t="shared" si="81"/>
        <v>4.3381768478294629E-3</v>
      </c>
      <c r="DJ9" s="1">
        <v>144477</v>
      </c>
      <c r="DK9">
        <f t="shared" si="17"/>
        <v>0.50189848572748652</v>
      </c>
      <c r="DL9">
        <v>1889.3069949999999</v>
      </c>
      <c r="DM9" s="1">
        <v>175512</v>
      </c>
      <c r="DN9" s="3">
        <f t="shared" si="82"/>
        <v>2.6565216084826202E-4</v>
      </c>
      <c r="DO9" s="1">
        <v>668871</v>
      </c>
      <c r="DP9" s="1">
        <f t="shared" si="83"/>
        <v>816022.62</v>
      </c>
      <c r="DQ9" s="3">
        <f t="shared" si="18"/>
        <v>2.5309933253104724</v>
      </c>
      <c r="DR9" s="3">
        <f t="shared" si="84"/>
        <v>1905.8896083399998</v>
      </c>
      <c r="DS9" s="3">
        <f t="shared" si="85"/>
        <v>137690.12352382438</v>
      </c>
      <c r="DT9" s="3">
        <f t="shared" si="86"/>
        <v>1.3279852695744158E-3</v>
      </c>
      <c r="DU9" s="3">
        <f t="shared" si="87"/>
        <v>0.78450546699840684</v>
      </c>
      <c r="DV9" s="3">
        <f t="shared" si="88"/>
        <v>453.70572921220514</v>
      </c>
      <c r="DW9" s="3">
        <f t="shared" si="89"/>
        <v>0.10350740494713905</v>
      </c>
      <c r="DX9" s="3">
        <f t="shared" si="90"/>
        <v>145348172.07499999</v>
      </c>
      <c r="DY9" s="3">
        <f t="shared" si="91"/>
        <v>504.92484940648433</v>
      </c>
      <c r="DZ9" s="3">
        <f t="shared" si="92"/>
        <v>144758051</v>
      </c>
      <c r="EA9" s="3">
        <f t="shared" si="93"/>
        <v>378486.51</v>
      </c>
      <c r="EB9" s="3">
        <f t="shared" si="94"/>
        <v>1.269125191171939</v>
      </c>
      <c r="EC9" s="3">
        <f t="shared" si="95"/>
        <v>498035.19999999995</v>
      </c>
      <c r="ED9" s="3">
        <f t="shared" si="96"/>
        <v>1.6321718312951743</v>
      </c>
      <c r="EE9" s="9">
        <f t="shared" si="97"/>
        <v>132861517.26000001</v>
      </c>
      <c r="EF9" s="13">
        <f t="shared" si="98"/>
        <v>412.0861421411114</v>
      </c>
      <c r="EG9" s="14">
        <f t="shared" si="99"/>
        <v>-0.18386638600675034</v>
      </c>
      <c r="EH9" s="9">
        <f t="shared" si="100"/>
        <v>132228395.82000001</v>
      </c>
      <c r="EI9" s="10">
        <v>446295</v>
      </c>
      <c r="EJ9" s="10">
        <f t="shared" si="19"/>
        <v>584646.45000000007</v>
      </c>
      <c r="EK9" s="10">
        <f t="shared" si="101"/>
        <v>1.9604121098642209</v>
      </c>
      <c r="EL9" s="10">
        <v>376000</v>
      </c>
      <c r="EM9" s="10">
        <f t="shared" si="20"/>
        <v>481280</v>
      </c>
      <c r="EN9" s="10">
        <f t="shared" si="102"/>
        <v>1.577261324030393</v>
      </c>
      <c r="EO9" s="11">
        <v>3413221</v>
      </c>
      <c r="EP9" s="11">
        <f t="shared" si="21"/>
        <v>4164129.62</v>
      </c>
      <c r="EQ9" s="11">
        <f t="shared" si="103"/>
        <v>12.915554073669714</v>
      </c>
      <c r="ER9" s="10">
        <f t="shared" si="104"/>
        <v>16.453227507564328</v>
      </c>
      <c r="ES9" s="10">
        <f t="shared" si="115"/>
        <v>8.6521975149601058</v>
      </c>
      <c r="ET9" s="12">
        <v>0</v>
      </c>
      <c r="EU9" s="12">
        <f t="shared" si="22"/>
        <v>0</v>
      </c>
      <c r="EV9" s="12">
        <f t="shared" si="105"/>
        <v>0</v>
      </c>
      <c r="EW9" s="10">
        <v>0</v>
      </c>
      <c r="EX9" s="10">
        <f t="shared" si="23"/>
        <v>0</v>
      </c>
      <c r="EY9" s="10">
        <f t="shared" si="106"/>
        <v>0</v>
      </c>
      <c r="EZ9" s="3">
        <f t="shared" si="107"/>
        <v>0</v>
      </c>
      <c r="FA9" s="3">
        <f t="shared" si="108"/>
        <v>0</v>
      </c>
      <c r="FB9" s="3">
        <f t="shared" si="109"/>
        <v>0</v>
      </c>
      <c r="FC9" s="1">
        <f t="shared" si="110"/>
        <v>6.3723000000000001</v>
      </c>
      <c r="FD9">
        <f>63.8/10</f>
        <v>6.38</v>
      </c>
      <c r="FE9">
        <f>6.8</f>
        <v>6.8</v>
      </c>
      <c r="FF9" s="7">
        <f t="shared" si="111"/>
        <v>7.85</v>
      </c>
      <c r="FG9" s="1">
        <f t="shared" si="112"/>
        <v>0.20999999999999996</v>
      </c>
      <c r="FH9">
        <v>2.63E-2</v>
      </c>
      <c r="FI9">
        <v>3.4000000000000002E-2</v>
      </c>
      <c r="FJ9">
        <v>4.41E-2</v>
      </c>
      <c r="FK9">
        <v>4.0899999999999999E-2</v>
      </c>
      <c r="FL9" s="1">
        <f t="shared" si="113"/>
        <v>2.5666666666666672E-3</v>
      </c>
    </row>
    <row r="10" spans="1:168">
      <c r="A10" t="s">
        <v>106</v>
      </c>
      <c r="B10" s="1" t="s">
        <v>0</v>
      </c>
      <c r="C10" s="1">
        <v>386702</v>
      </c>
      <c r="D10" s="6">
        <f t="shared" si="0"/>
        <v>396206.6</v>
      </c>
      <c r="E10" s="6">
        <f t="shared" si="1"/>
        <v>402543</v>
      </c>
      <c r="F10" s="1">
        <v>418384</v>
      </c>
      <c r="G10" s="1">
        <f t="shared" si="2"/>
        <v>3168.2</v>
      </c>
      <c r="H10" s="1">
        <v>1.31</v>
      </c>
      <c r="I10" s="1">
        <v>1.28</v>
      </c>
      <c r="J10" s="1">
        <v>1.22</v>
      </c>
      <c r="K10">
        <v>165587</v>
      </c>
      <c r="L10">
        <f t="shared" si="24"/>
        <v>0.42820311247420495</v>
      </c>
      <c r="M10">
        <v>169039</v>
      </c>
      <c r="N10">
        <f t="shared" si="25"/>
        <v>0.40402835672492254</v>
      </c>
      <c r="O10">
        <f t="shared" si="26"/>
        <v>-5.6456282182532472E-2</v>
      </c>
      <c r="P10">
        <f t="shared" si="27"/>
        <v>0.2079800874972782</v>
      </c>
      <c r="Q10">
        <f t="shared" si="28"/>
        <v>0.19899421128408692</v>
      </c>
      <c r="R10">
        <f t="shared" si="29"/>
        <v>1038.534133663496</v>
      </c>
      <c r="S10">
        <f t="shared" si="30"/>
        <v>1059.9598878993586</v>
      </c>
      <c r="T10">
        <f t="shared" si="31"/>
        <v>1002.0688197526778</v>
      </c>
      <c r="U10">
        <v>92297.113769999996</v>
      </c>
      <c r="V10">
        <f t="shared" si="32"/>
        <v>1.0856989767305026E-2</v>
      </c>
      <c r="W10">
        <f t="shared" si="33"/>
        <v>1015.8597494646067</v>
      </c>
      <c r="X10">
        <v>79429.064259999999</v>
      </c>
      <c r="Y10">
        <f t="shared" si="34"/>
        <v>1.278952180702181E-2</v>
      </c>
      <c r="Z10" s="1">
        <v>14582</v>
      </c>
      <c r="AA10" s="1">
        <f t="shared" si="35"/>
        <v>3.7708623177537225E-2</v>
      </c>
      <c r="AB10" s="1">
        <v>198710</v>
      </c>
      <c r="AC10" s="1">
        <f t="shared" si="3"/>
        <v>0.51385821640436302</v>
      </c>
      <c r="AD10" s="1">
        <v>61.278341249999997</v>
      </c>
      <c r="AE10" s="1">
        <v>22696</v>
      </c>
      <c r="AF10">
        <f t="shared" si="114"/>
        <v>1.556439445892196</v>
      </c>
      <c r="AG10">
        <f t="shared" si="36"/>
        <v>0.11421669770016607</v>
      </c>
      <c r="AH10">
        <f t="shared" si="116"/>
        <v>8.3856417442494512E-3</v>
      </c>
      <c r="AI10">
        <v>110914</v>
      </c>
      <c r="AJ10">
        <f t="shared" si="37"/>
        <v>145297.34</v>
      </c>
      <c r="AK10">
        <f t="shared" si="4"/>
        <v>0.3667211500262742</v>
      </c>
      <c r="AL10">
        <f t="shared" si="38"/>
        <v>40.567501634999999</v>
      </c>
      <c r="AM10">
        <f t="shared" si="39"/>
        <v>9.0397765513339379E-3</v>
      </c>
      <c r="AN10" s="2">
        <v>146.5</v>
      </c>
      <c r="AO10">
        <f t="shared" si="40"/>
        <v>146500</v>
      </c>
      <c r="AP10">
        <f t="shared" si="41"/>
        <v>187520</v>
      </c>
      <c r="AQ10">
        <f t="shared" si="5"/>
        <v>0.46583843216749515</v>
      </c>
      <c r="AR10">
        <f t="shared" si="42"/>
        <v>51.759606732800002</v>
      </c>
      <c r="AS10">
        <f t="shared" si="43"/>
        <v>9.0000380909442627E-3</v>
      </c>
      <c r="AT10" s="1">
        <v>17436</v>
      </c>
      <c r="AU10" s="1">
        <f t="shared" si="44"/>
        <v>4.167463382920953E-2</v>
      </c>
      <c r="AV10" s="1">
        <f t="shared" si="45"/>
        <v>0.10517516465663036</v>
      </c>
      <c r="AW10" s="1">
        <v>188099</v>
      </c>
      <c r="AX10" s="1">
        <f t="shared" si="46"/>
        <v>229480.78</v>
      </c>
      <c r="AY10" s="1">
        <f t="shared" si="6"/>
        <v>0.54849320241691846</v>
      </c>
      <c r="AZ10" s="1">
        <f t="shared" si="47"/>
        <v>6.7401833632062869E-2</v>
      </c>
      <c r="BA10" s="1">
        <f t="shared" si="48"/>
        <v>60.4858519474</v>
      </c>
      <c r="BB10" s="1">
        <v>20816</v>
      </c>
      <c r="BC10" s="1">
        <f t="shared" si="49"/>
        <v>25395.52</v>
      </c>
      <c r="BD10" s="1">
        <f t="shared" si="50"/>
        <v>1.4564991970635468</v>
      </c>
      <c r="BE10" s="1">
        <f t="shared" si="51"/>
        <v>0.11066512846958251</v>
      </c>
      <c r="BF10" s="1">
        <f t="shared" si="52"/>
        <v>9.0681239456443762E-3</v>
      </c>
      <c r="BG10" s="1">
        <v>2915</v>
      </c>
      <c r="BH10" s="1">
        <f t="shared" si="53"/>
        <v>7.538104276678166E-3</v>
      </c>
      <c r="BI10" s="1">
        <v>108375.736</v>
      </c>
      <c r="BJ10" s="1">
        <f t="shared" si="7"/>
        <v>0.28025646621946615</v>
      </c>
      <c r="BK10" s="1">
        <v>101.2013381</v>
      </c>
      <c r="BL10" s="1">
        <v>6071.2860000000001</v>
      </c>
      <c r="BM10">
        <f t="shared" si="8"/>
        <v>2.0827739279588338</v>
      </c>
      <c r="BN10">
        <f t="shared" si="9"/>
        <v>5.6020712975826989E-2</v>
      </c>
      <c r="BO10">
        <f t="shared" si="54"/>
        <v>2.7692960536009567E-3</v>
      </c>
      <c r="BP10">
        <v>93196</v>
      </c>
      <c r="BQ10">
        <f t="shared" si="55"/>
        <v>122086.76000000001</v>
      </c>
      <c r="BR10">
        <f t="shared" si="10"/>
        <v>0.30813913751058164</v>
      </c>
      <c r="BS10">
        <f t="shared" si="56"/>
        <v>59.525235619600004</v>
      </c>
      <c r="BT10">
        <f t="shared" si="57"/>
        <v>5.1766134867531708E-3</v>
      </c>
      <c r="BU10">
        <v>58.51</v>
      </c>
      <c r="BV10">
        <f t="shared" si="11"/>
        <v>58510</v>
      </c>
      <c r="BW10">
        <f t="shared" si="58"/>
        <v>74892.800000000003</v>
      </c>
      <c r="BX10">
        <f t="shared" si="12"/>
        <v>0.18604919226020575</v>
      </c>
      <c r="BY10">
        <f t="shared" si="59"/>
        <v>76.247206297600002</v>
      </c>
      <c r="BZ10">
        <f t="shared" si="60"/>
        <v>2.440078808055449E-3</v>
      </c>
      <c r="CA10" s="1">
        <v>3242</v>
      </c>
      <c r="CB10" s="1">
        <f t="shared" si="61"/>
        <v>7.748862289188879E-3</v>
      </c>
      <c r="CC10" s="1">
        <f t="shared" si="62"/>
        <v>2.7959020567381736E-2</v>
      </c>
      <c r="CD10" s="1">
        <v>84903</v>
      </c>
      <c r="CE10" s="1">
        <f t="shared" si="63"/>
        <v>103581.66</v>
      </c>
      <c r="CF10">
        <f t="shared" si="13"/>
        <v>0.24757557650388162</v>
      </c>
      <c r="CG10">
        <f t="shared" si="64"/>
        <v>-0.11661065365033339</v>
      </c>
      <c r="CH10">
        <f t="shared" si="65"/>
        <v>90.917938902799989</v>
      </c>
      <c r="CI10" s="1">
        <v>6042</v>
      </c>
      <c r="CJ10" s="1">
        <f t="shared" si="66"/>
        <v>7371.24</v>
      </c>
      <c r="CK10">
        <f t="shared" si="67"/>
        <v>2.2736705737199259</v>
      </c>
      <c r="CL10">
        <f t="shared" si="68"/>
        <v>7.1163563124977916E-2</v>
      </c>
      <c r="CM10">
        <f t="shared" si="69"/>
        <v>2.7230663111332044E-3</v>
      </c>
      <c r="CN10" s="1">
        <v>58829</v>
      </c>
      <c r="CO10" s="1">
        <f t="shared" si="70"/>
        <v>0.15213006397691245</v>
      </c>
      <c r="CP10" s="1">
        <v>387194931</v>
      </c>
      <c r="CQ10" s="1">
        <f t="shared" si="14"/>
        <v>1001.274705070054</v>
      </c>
      <c r="CR10" s="1">
        <v>108123.0123</v>
      </c>
      <c r="CS10" s="1">
        <v>79238389</v>
      </c>
      <c r="CT10">
        <f t="shared" si="71"/>
        <v>1346.9273487565656</v>
      </c>
      <c r="CU10">
        <f t="shared" si="72"/>
        <v>0.20464727881471154</v>
      </c>
      <c r="CV10">
        <f t="shared" si="73"/>
        <v>9.2605143324336874E-3</v>
      </c>
      <c r="CW10" s="1">
        <v>59607</v>
      </c>
      <c r="CX10" s="1">
        <f t="shared" si="74"/>
        <v>0.14246959730773642</v>
      </c>
      <c r="CY10" s="1">
        <f t="shared" si="75"/>
        <v>-6.3501364665449145E-2</v>
      </c>
      <c r="CZ10" s="1">
        <v>348103609</v>
      </c>
      <c r="DA10" s="1">
        <f t="shared" si="15"/>
        <v>424686402.98000002</v>
      </c>
      <c r="DB10" s="1">
        <f t="shared" si="16"/>
        <v>1015.0636806856859</v>
      </c>
      <c r="DC10" s="1">
        <f t="shared" si="76"/>
        <v>1.3771421115314358E-2</v>
      </c>
      <c r="DD10" s="1">
        <f t="shared" si="77"/>
        <v>93954.54819500001</v>
      </c>
      <c r="DE10" s="1">
        <v>69726322</v>
      </c>
      <c r="DF10" s="1">
        <f t="shared" si="78"/>
        <v>85066112.840000004</v>
      </c>
      <c r="DG10">
        <f t="shared" si="79"/>
        <v>1427.1161581693425</v>
      </c>
      <c r="DH10">
        <f t="shared" si="80"/>
        <v>0.20030335853254541</v>
      </c>
      <c r="DI10">
        <f t="shared" si="81"/>
        <v>1.0803773741521803E-2</v>
      </c>
      <c r="DJ10" s="1">
        <v>1596792</v>
      </c>
      <c r="DK10">
        <f t="shared" si="17"/>
        <v>4.1292571540876439</v>
      </c>
      <c r="DL10">
        <v>1889.3069949999999</v>
      </c>
      <c r="DM10" s="1">
        <v>1657648</v>
      </c>
      <c r="DN10" s="3">
        <f t="shared" si="82"/>
        <v>2.1855935350981138E-3</v>
      </c>
      <c r="DO10" s="1">
        <v>2152078</v>
      </c>
      <c r="DP10" s="1">
        <f t="shared" si="83"/>
        <v>2625535.16</v>
      </c>
      <c r="DQ10" s="3">
        <f t="shared" si="18"/>
        <v>6.2754196145168075</v>
      </c>
      <c r="DR10" s="3">
        <f t="shared" si="84"/>
        <v>1905.8896083399998</v>
      </c>
      <c r="DS10" s="3">
        <f t="shared" si="85"/>
        <v>1779601.9711141733</v>
      </c>
      <c r="DT10" s="3">
        <f t="shared" si="86"/>
        <v>3.2926459051228056E-3</v>
      </c>
      <c r="DU10" s="3">
        <f t="shared" si="87"/>
        <v>1.0735704872893239</v>
      </c>
      <c r="DV10" s="3">
        <f t="shared" si="88"/>
        <v>463.56881501175712</v>
      </c>
      <c r="DW10" s="3">
        <f t="shared" si="89"/>
        <v>0.12616945660296841</v>
      </c>
      <c r="DX10" s="3">
        <f t="shared" si="90"/>
        <v>389098808.736</v>
      </c>
      <c r="DY10" s="3">
        <f t="shared" si="91"/>
        <v>1006.1980769067654</v>
      </c>
      <c r="DZ10" s="3">
        <f t="shared" si="92"/>
        <v>388791723</v>
      </c>
      <c r="EA10" s="3">
        <f t="shared" si="93"/>
        <v>267384.09999999998</v>
      </c>
      <c r="EB10" s="3">
        <f t="shared" si="94"/>
        <v>0.67486028753685579</v>
      </c>
      <c r="EC10" s="3">
        <f t="shared" si="95"/>
        <v>262412.79999999999</v>
      </c>
      <c r="ED10" s="3">
        <f t="shared" si="96"/>
        <v>0.65188762442770087</v>
      </c>
      <c r="EE10" s="9">
        <f t="shared" si="97"/>
        <v>427645000.58000004</v>
      </c>
      <c r="EF10" s="13">
        <f t="shared" si="98"/>
        <v>1022.1351690791236</v>
      </c>
      <c r="EG10" s="14">
        <f t="shared" si="99"/>
        <v>1.5838921319897191E-2</v>
      </c>
      <c r="EH10" s="9">
        <f t="shared" si="100"/>
        <v>427311938.14000005</v>
      </c>
      <c r="EI10" s="10">
        <v>165385</v>
      </c>
      <c r="EJ10" s="10">
        <f t="shared" si="19"/>
        <v>216654.35</v>
      </c>
      <c r="EK10" s="10">
        <f t="shared" si="101"/>
        <v>0.546821658195497</v>
      </c>
      <c r="EL10" s="10">
        <v>577000</v>
      </c>
      <c r="EM10" s="10">
        <f t="shared" si="20"/>
        <v>738560</v>
      </c>
      <c r="EN10" s="10">
        <f t="shared" si="102"/>
        <v>1.8347356679907487</v>
      </c>
      <c r="EO10" s="11">
        <v>1074323</v>
      </c>
      <c r="EP10" s="11">
        <f t="shared" si="21"/>
        <v>1310674.06</v>
      </c>
      <c r="EQ10" s="11">
        <f t="shared" si="103"/>
        <v>3.1327059830203834</v>
      </c>
      <c r="ER10" s="10">
        <f t="shared" si="104"/>
        <v>5.5142633092066298</v>
      </c>
      <c r="ES10" s="10">
        <f t="shared" si="115"/>
        <v>1.7746345049826691</v>
      </c>
      <c r="ET10" s="12">
        <v>61064</v>
      </c>
      <c r="EU10" s="12">
        <f t="shared" si="22"/>
        <v>79993.84</v>
      </c>
      <c r="EV10" s="12">
        <f t="shared" si="105"/>
        <v>0.20189931212655216</v>
      </c>
      <c r="EW10" s="10">
        <v>11000</v>
      </c>
      <c r="EX10" s="10">
        <f t="shared" si="23"/>
        <v>14080</v>
      </c>
      <c r="EY10" s="10">
        <f t="shared" si="106"/>
        <v>3.4977629719061071E-2</v>
      </c>
      <c r="EZ10" s="3">
        <f t="shared" si="107"/>
        <v>19520.979554809361</v>
      </c>
      <c r="FA10" s="3">
        <f t="shared" si="108"/>
        <v>4.6658045132723432E-2</v>
      </c>
      <c r="FB10" s="3">
        <f t="shared" si="109"/>
        <v>0.28353498697833668</v>
      </c>
      <c r="FC10" s="1">
        <f t="shared" si="110"/>
        <v>5.2623000000000006</v>
      </c>
      <c r="FD10">
        <f>52.7/10</f>
        <v>5.2700000000000005</v>
      </c>
      <c r="FE10">
        <f>6.6</f>
        <v>6.6</v>
      </c>
      <c r="FF10" s="7">
        <f t="shared" si="111"/>
        <v>9.9249999999999972</v>
      </c>
      <c r="FG10" s="1">
        <f t="shared" si="112"/>
        <v>0.66499999999999959</v>
      </c>
      <c r="FH10">
        <v>2.63E-2</v>
      </c>
      <c r="FI10">
        <v>3.4000000000000002E-2</v>
      </c>
      <c r="FJ10">
        <v>4.41E-2</v>
      </c>
      <c r="FK10">
        <v>4.0899999999999999E-2</v>
      </c>
      <c r="FL10" s="1">
        <f t="shared" si="113"/>
        <v>2.5666666666666672E-3</v>
      </c>
    </row>
    <row r="11" spans="1:168">
      <c r="A11" t="s">
        <v>106</v>
      </c>
      <c r="B11" s="1" t="s">
        <v>1</v>
      </c>
      <c r="C11" s="1">
        <v>421097</v>
      </c>
      <c r="D11" s="6">
        <f t="shared" si="0"/>
        <v>429824.6</v>
      </c>
      <c r="E11" s="6">
        <f t="shared" si="1"/>
        <v>435643</v>
      </c>
      <c r="F11" s="1">
        <v>450189</v>
      </c>
      <c r="G11" s="1">
        <f t="shared" si="2"/>
        <v>2909.2</v>
      </c>
      <c r="H11" s="1">
        <v>1.31</v>
      </c>
      <c r="I11" s="1">
        <v>1.28</v>
      </c>
      <c r="J11" s="1">
        <v>1.22</v>
      </c>
      <c r="K11">
        <v>180916</v>
      </c>
      <c r="L11">
        <f t="shared" si="24"/>
        <v>0.42963022771475456</v>
      </c>
      <c r="M11">
        <v>183760</v>
      </c>
      <c r="N11">
        <f t="shared" si="25"/>
        <v>0.40818411822590067</v>
      </c>
      <c r="O11">
        <f t="shared" si="26"/>
        <v>-4.9917599147825002E-2</v>
      </c>
      <c r="P11">
        <f t="shared" si="27"/>
        <v>0.25863489096922093</v>
      </c>
      <c r="Q11">
        <f t="shared" si="28"/>
        <v>0.23820172514854496</v>
      </c>
      <c r="R11">
        <f t="shared" si="29"/>
        <v>991.1668269650055</v>
      </c>
      <c r="S11">
        <f t="shared" si="30"/>
        <v>1110.8375992485626</v>
      </c>
      <c r="T11">
        <f t="shared" si="31"/>
        <v>835.54184608534376</v>
      </c>
      <c r="U11">
        <v>92297.113769999996</v>
      </c>
      <c r="V11">
        <f t="shared" si="32"/>
        <v>9.0527407841535998E-3</v>
      </c>
      <c r="W11">
        <f t="shared" si="33"/>
        <v>886.16367405689607</v>
      </c>
      <c r="X11">
        <v>79429.064259999999</v>
      </c>
      <c r="Y11">
        <f t="shared" si="34"/>
        <v>1.1156667679681615E-2</v>
      </c>
      <c r="Z11" s="1">
        <v>16534</v>
      </c>
      <c r="AA11" s="1">
        <f t="shared" si="35"/>
        <v>3.926411254414066E-2</v>
      </c>
      <c r="AB11" s="1">
        <v>199211</v>
      </c>
      <c r="AC11" s="1">
        <f t="shared" si="3"/>
        <v>0.47307627458756535</v>
      </c>
      <c r="AD11" s="1">
        <v>61.278341249999997</v>
      </c>
      <c r="AE11" s="1">
        <v>24599</v>
      </c>
      <c r="AF11">
        <f t="shared" si="114"/>
        <v>1.4877827506955366</v>
      </c>
      <c r="AG11">
        <f t="shared" si="36"/>
        <v>0.12348213703058566</v>
      </c>
      <c r="AH11">
        <f t="shared" si="116"/>
        <v>7.7201220682122391E-3</v>
      </c>
      <c r="AI11">
        <v>117919</v>
      </c>
      <c r="AJ11">
        <f t="shared" si="37"/>
        <v>154473.89000000001</v>
      </c>
      <c r="AK11">
        <f t="shared" si="4"/>
        <v>0.35938820160595747</v>
      </c>
      <c r="AL11">
        <f t="shared" si="38"/>
        <v>40.567501634999999</v>
      </c>
      <c r="AM11">
        <f t="shared" si="39"/>
        <v>8.8590173691123208E-3</v>
      </c>
      <c r="AN11">
        <v>152.35</v>
      </c>
      <c r="AO11">
        <f t="shared" si="40"/>
        <v>152350</v>
      </c>
      <c r="AP11">
        <f t="shared" si="41"/>
        <v>195008</v>
      </c>
      <c r="AQ11">
        <f t="shared" si="5"/>
        <v>0.44763257988766031</v>
      </c>
      <c r="AR11">
        <f t="shared" si="42"/>
        <v>51.759606732800002</v>
      </c>
      <c r="AS11">
        <f t="shared" si="43"/>
        <v>8.6482994779787624E-3</v>
      </c>
      <c r="AT11" s="1">
        <v>20766</v>
      </c>
      <c r="AU11" s="1">
        <f t="shared" si="44"/>
        <v>4.6127293203521186E-2</v>
      </c>
      <c r="AV11" s="1">
        <f t="shared" si="45"/>
        <v>0.17479525741642443</v>
      </c>
      <c r="AW11" s="1">
        <v>199928</v>
      </c>
      <c r="AX11" s="1">
        <f t="shared" si="46"/>
        <v>243912.16</v>
      </c>
      <c r="AY11" s="1">
        <f t="shared" si="6"/>
        <v>0.54179946644631483</v>
      </c>
      <c r="AZ11" s="1">
        <f t="shared" si="47"/>
        <v>0.14526873476938437</v>
      </c>
      <c r="BA11" s="1">
        <f t="shared" si="48"/>
        <v>60.4858519474</v>
      </c>
      <c r="BB11" s="1">
        <v>24252</v>
      </c>
      <c r="BC11" s="1">
        <f t="shared" si="49"/>
        <v>29587.439999999999</v>
      </c>
      <c r="BD11" s="1">
        <f t="shared" si="50"/>
        <v>1.4248020803236059</v>
      </c>
      <c r="BE11" s="1">
        <f t="shared" si="51"/>
        <v>0.12130366932095554</v>
      </c>
      <c r="BF11" s="1">
        <f t="shared" si="52"/>
        <v>8.9574578021563971E-3</v>
      </c>
      <c r="BG11" s="1">
        <v>8798</v>
      </c>
      <c r="BH11" s="1">
        <f t="shared" si="53"/>
        <v>2.0893048395025374E-2</v>
      </c>
      <c r="BI11" s="1">
        <v>153682.761</v>
      </c>
      <c r="BJ11" s="1">
        <f t="shared" si="7"/>
        <v>0.36495809991522143</v>
      </c>
      <c r="BK11" s="1">
        <v>101.2013381</v>
      </c>
      <c r="BL11" s="1">
        <v>10047.224</v>
      </c>
      <c r="BM11">
        <f t="shared" si="8"/>
        <v>1.1419895430779723</v>
      </c>
      <c r="BN11">
        <f t="shared" si="9"/>
        <v>6.5376389222991646E-2</v>
      </c>
      <c r="BO11">
        <f t="shared" si="54"/>
        <v>3.6062576519946374E-3</v>
      </c>
      <c r="BP11">
        <v>92976</v>
      </c>
      <c r="BQ11">
        <f t="shared" si="55"/>
        <v>121798.56000000001</v>
      </c>
      <c r="BR11">
        <f t="shared" si="10"/>
        <v>0.28336805292205242</v>
      </c>
      <c r="BS11">
        <f t="shared" si="56"/>
        <v>59.525235619600004</v>
      </c>
      <c r="BT11">
        <f t="shared" si="57"/>
        <v>4.7604692358201636E-3</v>
      </c>
      <c r="BU11">
        <v>101.7</v>
      </c>
      <c r="BV11">
        <f t="shared" si="11"/>
        <v>101700</v>
      </c>
      <c r="BW11">
        <f t="shared" si="58"/>
        <v>130176</v>
      </c>
      <c r="BX11">
        <f t="shared" si="12"/>
        <v>0.29881347800836922</v>
      </c>
      <c r="BY11">
        <f t="shared" si="59"/>
        <v>76.247206297600002</v>
      </c>
      <c r="BZ11">
        <f t="shared" si="60"/>
        <v>3.9190088728244307E-3</v>
      </c>
      <c r="CA11" s="1">
        <v>5353</v>
      </c>
      <c r="CB11" s="1">
        <f t="shared" si="61"/>
        <v>1.1890561519717274E-2</v>
      </c>
      <c r="CC11" s="1">
        <f t="shared" si="62"/>
        <v>-0.43088431640504832</v>
      </c>
      <c r="CD11" s="1">
        <v>134162</v>
      </c>
      <c r="CE11" s="1">
        <f t="shared" si="63"/>
        <v>163677.63999999998</v>
      </c>
      <c r="CF11">
        <f t="shared" si="13"/>
        <v>0.36357538722625382</v>
      </c>
      <c r="CG11">
        <f t="shared" si="64"/>
        <v>-3.7886888639786674E-3</v>
      </c>
      <c r="CH11">
        <f t="shared" si="65"/>
        <v>90.917938902799989</v>
      </c>
      <c r="CI11" s="1">
        <v>9052</v>
      </c>
      <c r="CJ11" s="1">
        <f t="shared" si="66"/>
        <v>11043.44</v>
      </c>
      <c r="CK11">
        <f t="shared" si="67"/>
        <v>2.0630375490379227</v>
      </c>
      <c r="CL11">
        <f t="shared" si="68"/>
        <v>6.7470669787272119E-2</v>
      </c>
      <c r="CM11">
        <f t="shared" si="69"/>
        <v>3.9989400509282428E-3</v>
      </c>
      <c r="CN11" s="1">
        <v>65482</v>
      </c>
      <c r="CO11" s="1">
        <f t="shared" si="70"/>
        <v>0.15550336383303609</v>
      </c>
      <c r="CP11" s="1">
        <v>351491271</v>
      </c>
      <c r="CQ11" s="1">
        <f t="shared" si="14"/>
        <v>834.70381171084102</v>
      </c>
      <c r="CR11" s="1">
        <v>108123.0123</v>
      </c>
      <c r="CS11" s="1">
        <v>89977178</v>
      </c>
      <c r="CT11">
        <f t="shared" si="71"/>
        <v>1374.0749824379218</v>
      </c>
      <c r="CU11">
        <f t="shared" si="72"/>
        <v>0.25598694881956258</v>
      </c>
      <c r="CV11">
        <f t="shared" si="73"/>
        <v>7.7199459574327917E-3</v>
      </c>
      <c r="CW11" s="1">
        <v>62245</v>
      </c>
      <c r="CX11" s="1">
        <f t="shared" si="74"/>
        <v>0.13826415127868519</v>
      </c>
      <c r="CY11" s="1">
        <f t="shared" si="75"/>
        <v>-0.11086070506397945</v>
      </c>
      <c r="CZ11" s="1">
        <v>326666843</v>
      </c>
      <c r="DA11" s="1">
        <f t="shared" si="15"/>
        <v>398533548.45999998</v>
      </c>
      <c r="DB11" s="1">
        <f t="shared" si="16"/>
        <v>885.25829920322349</v>
      </c>
      <c r="DC11" s="1">
        <f t="shared" si="76"/>
        <v>6.0565780080438406E-2</v>
      </c>
      <c r="DD11" s="1">
        <f t="shared" si="77"/>
        <v>93954.54819500001</v>
      </c>
      <c r="DE11" s="1">
        <v>80424117</v>
      </c>
      <c r="DF11" s="1">
        <f t="shared" si="78"/>
        <v>98117422.739999995</v>
      </c>
      <c r="DG11">
        <f t="shared" si="79"/>
        <v>1576.3101090850671</v>
      </c>
      <c r="DH11">
        <f t="shared" si="80"/>
        <v>0.2461961436349388</v>
      </c>
      <c r="DI11">
        <f t="shared" si="81"/>
        <v>9.4221973944879703E-3</v>
      </c>
      <c r="DJ11" s="1">
        <v>14624566</v>
      </c>
      <c r="DK11">
        <f t="shared" si="17"/>
        <v>34.729684609484273</v>
      </c>
      <c r="DL11">
        <v>1889.3069949999999</v>
      </c>
      <c r="DM11" s="1">
        <v>4769776</v>
      </c>
      <c r="DN11" s="3">
        <f t="shared" si="82"/>
        <v>1.8382234703727584E-2</v>
      </c>
      <c r="DO11" s="1">
        <v>10769169</v>
      </c>
      <c r="DP11" s="1">
        <f t="shared" si="83"/>
        <v>13138386.18</v>
      </c>
      <c r="DQ11" s="3">
        <f t="shared" si="18"/>
        <v>29.184156387650521</v>
      </c>
      <c r="DR11" s="3">
        <f t="shared" si="84"/>
        <v>1905.8896083399998</v>
      </c>
      <c r="DS11" s="3">
        <f t="shared" si="85"/>
        <v>5201449.169592035</v>
      </c>
      <c r="DT11" s="3">
        <f t="shared" si="86"/>
        <v>1.5312616355083372E-2</v>
      </c>
      <c r="DU11" s="3">
        <f t="shared" si="87"/>
        <v>1.0905017698089041</v>
      </c>
      <c r="DV11" s="3">
        <f t="shared" si="88"/>
        <v>492.75045057435392</v>
      </c>
      <c r="DW11" s="3">
        <f t="shared" si="89"/>
        <v>0.14663599296938437</v>
      </c>
      <c r="DX11" s="3">
        <f t="shared" si="90"/>
        <v>366468730.76099998</v>
      </c>
      <c r="DY11" s="3">
        <f t="shared" si="91"/>
        <v>870.27153069482802</v>
      </c>
      <c r="DZ11" s="3">
        <f t="shared" si="92"/>
        <v>366115837</v>
      </c>
      <c r="EA11" s="3">
        <f t="shared" si="93"/>
        <v>276272.45</v>
      </c>
      <c r="EB11" s="3">
        <f t="shared" si="94"/>
        <v>0.64275625452800988</v>
      </c>
      <c r="EC11" s="3">
        <f t="shared" si="95"/>
        <v>325184</v>
      </c>
      <c r="ED11" s="3">
        <f t="shared" si="96"/>
        <v>0.74644605789602958</v>
      </c>
      <c r="EE11" s="9">
        <f t="shared" si="97"/>
        <v>412079524.44</v>
      </c>
      <c r="EF11" s="13">
        <f t="shared" si="98"/>
        <v>915.34783044454662</v>
      </c>
      <c r="EG11" s="14">
        <f t="shared" si="99"/>
        <v>5.1795673143219471E-2</v>
      </c>
      <c r="EH11" s="9">
        <f t="shared" si="100"/>
        <v>411671934.63999999</v>
      </c>
      <c r="EI11" s="10">
        <f>EI9+EI10</f>
        <v>611680</v>
      </c>
      <c r="EJ11" s="10">
        <f t="shared" si="19"/>
        <v>801300.8</v>
      </c>
      <c r="EK11" s="10">
        <f t="shared" si="101"/>
        <v>1.8642506734142255</v>
      </c>
      <c r="EL11" s="10">
        <v>466000</v>
      </c>
      <c r="EM11" s="10">
        <f t="shared" si="20"/>
        <v>596480</v>
      </c>
      <c r="EN11" s="10">
        <f t="shared" si="102"/>
        <v>1.3691945010019673</v>
      </c>
      <c r="EO11" s="10">
        <v>1615775</v>
      </c>
      <c r="EP11" s="11">
        <f t="shared" si="21"/>
        <v>1971245.5</v>
      </c>
      <c r="EQ11" s="11">
        <f t="shared" si="103"/>
        <v>4.3787064988260482</v>
      </c>
      <c r="ER11" s="10">
        <f t="shared" si="104"/>
        <v>7.6121516732422414</v>
      </c>
      <c r="ES11" s="10">
        <f t="shared" si="115"/>
        <v>3.3047973108905579</v>
      </c>
      <c r="ET11" s="12">
        <v>2649525</v>
      </c>
      <c r="EU11" s="12">
        <f t="shared" si="22"/>
        <v>3470877.75</v>
      </c>
      <c r="EV11" s="12">
        <f t="shared" si="105"/>
        <v>8.0751026116234392</v>
      </c>
      <c r="EW11" s="10">
        <v>1061000</v>
      </c>
      <c r="EX11" s="10">
        <f t="shared" si="23"/>
        <v>1358080</v>
      </c>
      <c r="EY11" s="10">
        <f t="shared" si="106"/>
        <v>3.117414947560273</v>
      </c>
      <c r="EZ11" s="3">
        <f t="shared" si="107"/>
        <v>3506389.9468548819</v>
      </c>
      <c r="FA11" s="3">
        <f t="shared" si="108"/>
        <v>7.78870640298826</v>
      </c>
      <c r="FB11" s="3">
        <f t="shared" si="109"/>
        <v>18.981223962171974</v>
      </c>
      <c r="FC11" s="1">
        <f t="shared" si="110"/>
        <v>6.0423</v>
      </c>
      <c r="FD11">
        <f>60.5/10</f>
        <v>6.05</v>
      </c>
      <c r="FE11">
        <f>7.2</f>
        <v>7.2</v>
      </c>
      <c r="FF11" s="7">
        <f t="shared" si="111"/>
        <v>10.075000000000001</v>
      </c>
      <c r="FG11" s="1">
        <f t="shared" si="112"/>
        <v>0.57500000000000018</v>
      </c>
      <c r="FH11">
        <v>2.63E-2</v>
      </c>
      <c r="FI11">
        <v>3.4000000000000002E-2</v>
      </c>
      <c r="FJ11">
        <v>4.41E-2</v>
      </c>
      <c r="FK11">
        <v>4.0899999999999999E-2</v>
      </c>
      <c r="FL11" s="1">
        <f t="shared" si="113"/>
        <v>2.5666666666666672E-3</v>
      </c>
    </row>
    <row r="12" spans="1:168">
      <c r="A12" t="s">
        <v>106</v>
      </c>
      <c r="B12" s="1" t="s">
        <v>2</v>
      </c>
      <c r="C12" s="1">
        <v>463449</v>
      </c>
      <c r="D12" s="6">
        <f t="shared" si="0"/>
        <v>469709.1</v>
      </c>
      <c r="E12" s="6">
        <f t="shared" si="1"/>
        <v>473882.5</v>
      </c>
      <c r="F12" s="1">
        <v>484316</v>
      </c>
      <c r="G12" s="1">
        <f t="shared" si="2"/>
        <v>2086.6999999999998</v>
      </c>
      <c r="H12" s="1">
        <v>1.31</v>
      </c>
      <c r="I12" s="1">
        <v>1.28</v>
      </c>
      <c r="J12" s="1">
        <v>1.22</v>
      </c>
      <c r="K12">
        <v>192932</v>
      </c>
      <c r="L12">
        <f t="shared" si="24"/>
        <v>0.41629607572785787</v>
      </c>
      <c r="M12">
        <v>193237</v>
      </c>
      <c r="N12">
        <f t="shared" si="25"/>
        <v>0.39898950272136374</v>
      </c>
      <c r="O12">
        <f t="shared" si="26"/>
        <v>-4.1572750778962005E-2</v>
      </c>
      <c r="P12">
        <f t="shared" si="27"/>
        <v>0.21556620515273353</v>
      </c>
      <c r="Q12">
        <f t="shared" si="28"/>
        <v>0.2150946824508396</v>
      </c>
      <c r="R12">
        <f t="shared" si="29"/>
        <v>1008.4253597853685</v>
      </c>
      <c r="S12">
        <f t="shared" si="30"/>
        <v>1047.5608388166581</v>
      </c>
      <c r="T12">
        <f t="shared" si="31"/>
        <v>1026.1635791597348</v>
      </c>
      <c r="U12">
        <v>92297.113769999996</v>
      </c>
      <c r="V12">
        <f t="shared" si="32"/>
        <v>1.111804624483584E-2</v>
      </c>
      <c r="W12">
        <f t="shared" si="33"/>
        <v>944.14886251951214</v>
      </c>
      <c r="X12">
        <v>79429.064259999999</v>
      </c>
      <c r="Y12">
        <f t="shared" si="34"/>
        <v>1.188669250123572E-2</v>
      </c>
      <c r="Z12" s="1">
        <v>18132</v>
      </c>
      <c r="AA12" s="1">
        <f t="shared" si="35"/>
        <v>3.9124046011535248E-2</v>
      </c>
      <c r="AB12" s="1">
        <v>232587</v>
      </c>
      <c r="AC12" s="1">
        <f t="shared" si="3"/>
        <v>0.5018610461992582</v>
      </c>
      <c r="AD12" s="1">
        <v>61.278341249999997</v>
      </c>
      <c r="AE12" s="1">
        <v>26584</v>
      </c>
      <c r="AF12">
        <f t="shared" si="114"/>
        <v>1.4661372159717627</v>
      </c>
      <c r="AG12">
        <f t="shared" si="36"/>
        <v>0.11429701574034662</v>
      </c>
      <c r="AH12">
        <f t="shared" si="116"/>
        <v>8.1898601685674415E-3</v>
      </c>
      <c r="AI12">
        <v>118709</v>
      </c>
      <c r="AJ12">
        <f t="shared" si="37"/>
        <v>155508.79</v>
      </c>
      <c r="AK12">
        <f t="shared" si="4"/>
        <v>0.3310746800519726</v>
      </c>
      <c r="AL12">
        <f t="shared" si="38"/>
        <v>40.567501634999999</v>
      </c>
      <c r="AM12">
        <f t="shared" si="39"/>
        <v>8.1610813263968598E-3</v>
      </c>
      <c r="AN12">
        <v>156.88</v>
      </c>
      <c r="AO12">
        <f t="shared" si="40"/>
        <v>156880</v>
      </c>
      <c r="AP12">
        <f t="shared" si="41"/>
        <v>200806.39999999999</v>
      </c>
      <c r="AQ12">
        <f t="shared" si="5"/>
        <v>0.42374723692054461</v>
      </c>
      <c r="AR12">
        <f t="shared" si="42"/>
        <v>51.759606732800002</v>
      </c>
      <c r="AS12">
        <f t="shared" si="43"/>
        <v>8.1868326223587112E-3</v>
      </c>
      <c r="AT12" s="1">
        <v>20495</v>
      </c>
      <c r="AU12" s="1">
        <f t="shared" si="44"/>
        <v>4.231741259838618E-2</v>
      </c>
      <c r="AV12" s="1">
        <f t="shared" si="45"/>
        <v>8.1621583460703598E-2</v>
      </c>
      <c r="AW12" s="1">
        <v>200553</v>
      </c>
      <c r="AX12" s="1">
        <f t="shared" si="46"/>
        <v>244674.66</v>
      </c>
      <c r="AY12" s="1">
        <f t="shared" si="6"/>
        <v>0.50519631810636034</v>
      </c>
      <c r="AZ12" s="1">
        <f t="shared" si="47"/>
        <v>6.6458075046093787E-3</v>
      </c>
      <c r="BA12" s="1">
        <f t="shared" si="48"/>
        <v>60.4858519474</v>
      </c>
      <c r="BB12" s="1">
        <v>22625</v>
      </c>
      <c r="BC12" s="1">
        <f t="shared" si="49"/>
        <v>27602.5</v>
      </c>
      <c r="BD12" s="1">
        <f t="shared" si="50"/>
        <v>1.3467919004635276</v>
      </c>
      <c r="BE12" s="1">
        <f t="shared" si="51"/>
        <v>0.11281307185631728</v>
      </c>
      <c r="BF12" s="1">
        <f t="shared" si="52"/>
        <v>8.3523055696676247E-3</v>
      </c>
      <c r="BG12" s="1">
        <v>5374</v>
      </c>
      <c r="BH12" s="1">
        <f t="shared" si="53"/>
        <v>1.1595666405580764E-2</v>
      </c>
      <c r="BI12" s="1">
        <v>225521.598</v>
      </c>
      <c r="BJ12" s="1">
        <f t="shared" si="7"/>
        <v>0.48661578296641056</v>
      </c>
      <c r="BK12" s="1">
        <v>101.2013381</v>
      </c>
      <c r="BL12" s="1">
        <v>10148.475</v>
      </c>
      <c r="BM12">
        <f t="shared" si="8"/>
        <v>1.8884397097134351</v>
      </c>
      <c r="BN12">
        <f t="shared" si="9"/>
        <v>4.5000013701570175E-2</v>
      </c>
      <c r="BO12">
        <f t="shared" si="54"/>
        <v>4.8083927752572923E-3</v>
      </c>
      <c r="BP12">
        <v>128955</v>
      </c>
      <c r="BQ12">
        <f t="shared" si="55"/>
        <v>168931.05000000002</v>
      </c>
      <c r="BR12">
        <f t="shared" si="10"/>
        <v>0.35965036657795224</v>
      </c>
      <c r="BS12">
        <f t="shared" si="56"/>
        <v>59.525235619600004</v>
      </c>
      <c r="BT12">
        <f t="shared" si="57"/>
        <v>6.0419814022462997E-3</v>
      </c>
      <c r="BU12">
        <v>117.49</v>
      </c>
      <c r="BV12">
        <f t="shared" si="11"/>
        <v>117490</v>
      </c>
      <c r="BW12">
        <f t="shared" si="58"/>
        <v>150387.20000000001</v>
      </c>
      <c r="BX12">
        <f t="shared" si="12"/>
        <v>0.31735124213280719</v>
      </c>
      <c r="BY12">
        <f t="shared" si="59"/>
        <v>76.247206297600002</v>
      </c>
      <c r="BZ12">
        <f t="shared" si="60"/>
        <v>4.1621359987165365E-3</v>
      </c>
      <c r="CA12" s="1">
        <v>5397</v>
      </c>
      <c r="CB12" s="1">
        <f t="shared" si="61"/>
        <v>1.1143550904781176E-2</v>
      </c>
      <c r="CC12" s="1">
        <f t="shared" si="62"/>
        <v>-3.899004032937637E-2</v>
      </c>
      <c r="CD12" s="1">
        <v>157305</v>
      </c>
      <c r="CE12" s="1">
        <f t="shared" si="63"/>
        <v>191912.1</v>
      </c>
      <c r="CF12">
        <f t="shared" si="13"/>
        <v>0.39625389208698453</v>
      </c>
      <c r="CG12">
        <f t="shared" si="64"/>
        <v>-0.18569453363920876</v>
      </c>
      <c r="CH12">
        <f t="shared" si="65"/>
        <v>90.917938902799989</v>
      </c>
      <c r="CI12" s="1">
        <v>9137</v>
      </c>
      <c r="CJ12" s="1">
        <f t="shared" si="66"/>
        <v>11147.14</v>
      </c>
      <c r="CK12">
        <f t="shared" si="67"/>
        <v>2.065432647767278</v>
      </c>
      <c r="CL12">
        <f t="shared" si="68"/>
        <v>5.8084612695082798E-2</v>
      </c>
      <c r="CM12">
        <f t="shared" si="69"/>
        <v>4.358368621957192E-3</v>
      </c>
      <c r="CN12" s="1">
        <v>77318</v>
      </c>
      <c r="CO12" s="1">
        <f t="shared" si="70"/>
        <v>0.16683173337303564</v>
      </c>
      <c r="CP12" s="1">
        <v>475116376</v>
      </c>
      <c r="CQ12" s="1">
        <f t="shared" si="14"/>
        <v>1025.1751023305692</v>
      </c>
      <c r="CR12" s="1">
        <v>108123.0123</v>
      </c>
      <c r="CS12" s="1">
        <v>101636746</v>
      </c>
      <c r="CT12">
        <f t="shared" si="71"/>
        <v>1314.5289065935488</v>
      </c>
      <c r="CU12">
        <f t="shared" si="72"/>
        <v>0.21391968606866121</v>
      </c>
      <c r="CV12">
        <f t="shared" si="73"/>
        <v>9.4815625325541282E-3</v>
      </c>
      <c r="CW12" s="1">
        <v>68789</v>
      </c>
      <c r="CX12" s="1">
        <f t="shared" si="74"/>
        <v>0.14203330057235358</v>
      </c>
      <c r="CY12" s="1">
        <f t="shared" si="75"/>
        <v>-0.14864338036477018</v>
      </c>
      <c r="CZ12" s="1">
        <v>374450667</v>
      </c>
      <c r="DA12" s="1">
        <f t="shared" si="15"/>
        <v>456829813.74000001</v>
      </c>
      <c r="DB12" s="1">
        <f t="shared" si="16"/>
        <v>943.24741230931875</v>
      </c>
      <c r="DC12" s="1">
        <f t="shared" si="76"/>
        <v>-7.9915801539660047E-2</v>
      </c>
      <c r="DD12" s="1">
        <f t="shared" si="77"/>
        <v>93954.54819500001</v>
      </c>
      <c r="DE12" s="1">
        <v>81266687</v>
      </c>
      <c r="DF12" s="1">
        <f t="shared" si="78"/>
        <v>99145358.140000001</v>
      </c>
      <c r="DG12">
        <f t="shared" si="79"/>
        <v>1441.2966919129512</v>
      </c>
      <c r="DH12">
        <f t="shared" si="80"/>
        <v>0.21702908864093437</v>
      </c>
      <c r="DI12">
        <f t="shared" si="81"/>
        <v>1.0039401289564348E-2</v>
      </c>
      <c r="DJ12" s="1">
        <v>3017586</v>
      </c>
      <c r="DK12">
        <f t="shared" si="17"/>
        <v>6.5111500941851208</v>
      </c>
      <c r="DL12">
        <v>1889.3069949999999</v>
      </c>
      <c r="DM12" s="1">
        <v>1494798</v>
      </c>
      <c r="DN12" s="3">
        <f t="shared" si="82"/>
        <v>3.4463166184303048E-3</v>
      </c>
      <c r="DO12" s="1">
        <v>3157346</v>
      </c>
      <c r="DP12" s="1">
        <f t="shared" si="83"/>
        <v>3851962.12</v>
      </c>
      <c r="DQ12" s="3">
        <f t="shared" si="18"/>
        <v>7.9534067014098238</v>
      </c>
      <c r="DR12" s="3">
        <f t="shared" si="84"/>
        <v>1905.8896083399998</v>
      </c>
      <c r="DS12" s="3">
        <f t="shared" si="85"/>
        <v>1458199.4062274897</v>
      </c>
      <c r="DT12" s="3">
        <f t="shared" si="86"/>
        <v>4.1730678768625625E-3</v>
      </c>
      <c r="DU12" s="3">
        <f t="shared" si="87"/>
        <v>0.97551602706686102</v>
      </c>
      <c r="DV12" s="3">
        <f t="shared" si="88"/>
        <v>460.43206666340262</v>
      </c>
      <c r="DW12" s="3">
        <f t="shared" si="89"/>
        <v>0.12685724811715207</v>
      </c>
      <c r="DX12" s="3">
        <f t="shared" si="90"/>
        <v>478592070.59799999</v>
      </c>
      <c r="DY12" s="3">
        <f t="shared" si="91"/>
        <v>1032.6747292539201</v>
      </c>
      <c r="DZ12" s="3">
        <f t="shared" si="92"/>
        <v>478133962</v>
      </c>
      <c r="EA12" s="3">
        <f t="shared" si="93"/>
        <v>324439.84000000003</v>
      </c>
      <c r="EB12" s="3">
        <f t="shared" si="94"/>
        <v>0.69072504662992484</v>
      </c>
      <c r="EC12" s="3">
        <f t="shared" si="95"/>
        <v>351193.59999999998</v>
      </c>
      <c r="ED12" s="3">
        <f t="shared" si="96"/>
        <v>0.7410984790533518</v>
      </c>
      <c r="EE12" s="9">
        <f t="shared" si="97"/>
        <v>461118362.62</v>
      </c>
      <c r="EF12" s="13">
        <f t="shared" si="98"/>
        <v>952.10226922092193</v>
      </c>
      <c r="EG12" s="14">
        <f t="shared" si="99"/>
        <v>-7.8023077112780323E-2</v>
      </c>
      <c r="EH12" s="9">
        <f t="shared" si="100"/>
        <v>460681775.86000001</v>
      </c>
      <c r="EI12" s="10">
        <v>157136</v>
      </c>
      <c r="EJ12" s="10">
        <f t="shared" si="19"/>
        <v>205848.16</v>
      </c>
      <c r="EK12" s="10">
        <f t="shared" si="101"/>
        <v>0.43824605484543522</v>
      </c>
      <c r="EL12" s="10">
        <v>703000</v>
      </c>
      <c r="EM12" s="10">
        <f t="shared" si="20"/>
        <v>899840</v>
      </c>
      <c r="EN12" s="10">
        <f t="shared" si="102"/>
        <v>1.8988673352571577</v>
      </c>
      <c r="EO12" s="11">
        <v>1579031</v>
      </c>
      <c r="EP12" s="11">
        <f t="shared" si="21"/>
        <v>1926417.82</v>
      </c>
      <c r="EQ12" s="11">
        <f t="shared" si="103"/>
        <v>3.9776051586154497</v>
      </c>
      <c r="ER12" s="10">
        <f t="shared" si="104"/>
        <v>6.3147185487180426</v>
      </c>
      <c r="ES12" s="10">
        <f t="shared" si="115"/>
        <v>2.1408448390825034</v>
      </c>
      <c r="ET12" s="12">
        <v>83802</v>
      </c>
      <c r="EU12" s="12">
        <f t="shared" si="22"/>
        <v>109780.62000000001</v>
      </c>
      <c r="EV12" s="12">
        <f t="shared" si="105"/>
        <v>0.23372044527133926</v>
      </c>
      <c r="EW12" s="10">
        <v>5000</v>
      </c>
      <c r="EX12" s="10">
        <f t="shared" si="23"/>
        <v>6400</v>
      </c>
      <c r="EY12" s="10">
        <f t="shared" si="106"/>
        <v>1.3505457576508945E-2</v>
      </c>
      <c r="EZ12" s="3">
        <f t="shared" si="107"/>
        <v>10704.224195412517</v>
      </c>
      <c r="FA12" s="3">
        <f t="shared" si="108"/>
        <v>2.2101735634198573E-2</v>
      </c>
      <c r="FB12" s="3">
        <f t="shared" si="109"/>
        <v>0.26932763848204677</v>
      </c>
      <c r="FC12" s="1">
        <f t="shared" si="110"/>
        <v>5.2222999999999997</v>
      </c>
      <c r="FD12">
        <f>52.3/10</f>
        <v>5.2299999999999995</v>
      </c>
      <c r="FE12">
        <f>6.3</f>
        <v>6.3</v>
      </c>
      <c r="FF12" s="7">
        <f t="shared" si="111"/>
        <v>8.9750000000000014</v>
      </c>
      <c r="FG12" s="1">
        <f t="shared" si="112"/>
        <v>0.53500000000000014</v>
      </c>
      <c r="FH12">
        <v>2.63E-2</v>
      </c>
      <c r="FI12">
        <v>3.4000000000000002E-2</v>
      </c>
      <c r="FJ12">
        <v>4.41E-2</v>
      </c>
      <c r="FK12">
        <v>4.0899999999999999E-2</v>
      </c>
      <c r="FL12" s="1">
        <f t="shared" si="113"/>
        <v>2.5666666666666672E-3</v>
      </c>
    </row>
    <row r="13" spans="1:168">
      <c r="A13" t="s">
        <v>110</v>
      </c>
      <c r="B13" s="1" t="s">
        <v>12</v>
      </c>
      <c r="C13" s="1">
        <v>161032</v>
      </c>
      <c r="D13" s="6">
        <f t="shared" si="0"/>
        <v>166591</v>
      </c>
      <c r="E13" s="6">
        <f t="shared" si="1"/>
        <v>170297</v>
      </c>
      <c r="F13" s="1">
        <v>179562</v>
      </c>
      <c r="G13" s="1">
        <f t="shared" si="2"/>
        <v>1853</v>
      </c>
      <c r="H13" s="1">
        <v>1.31</v>
      </c>
      <c r="I13" s="1">
        <v>1.28</v>
      </c>
      <c r="J13" s="1">
        <v>1.22</v>
      </c>
      <c r="K13">
        <v>68888</v>
      </c>
      <c r="L13">
        <f t="shared" si="24"/>
        <v>0.42779074966466291</v>
      </c>
      <c r="M13">
        <v>70578</v>
      </c>
      <c r="N13">
        <f t="shared" si="25"/>
        <v>0.39305643733083839</v>
      </c>
      <c r="O13">
        <f t="shared" si="26"/>
        <v>-8.1194631630188557E-2</v>
      </c>
      <c r="P13">
        <f t="shared" si="27"/>
        <v>0.20237161837756359</v>
      </c>
      <c r="Q13">
        <f t="shared" si="28"/>
        <v>0.18994148152693846</v>
      </c>
      <c r="R13">
        <f t="shared" si="29"/>
        <v>946.68035786145435</v>
      </c>
      <c r="S13">
        <f t="shared" si="30"/>
        <v>891.03393721836096</v>
      </c>
      <c r="T13">
        <f t="shared" si="31"/>
        <v>821.89468788191175</v>
      </c>
      <c r="U13">
        <v>92297.113769999996</v>
      </c>
      <c r="V13">
        <f t="shared" si="32"/>
        <v>8.9048796252722932E-3</v>
      </c>
      <c r="W13">
        <f t="shared" si="33"/>
        <v>670.33849233133947</v>
      </c>
      <c r="X13">
        <v>79429.064259999999</v>
      </c>
      <c r="Y13">
        <f t="shared" si="34"/>
        <v>8.4394610282336902E-3</v>
      </c>
      <c r="Z13" s="1">
        <v>6314</v>
      </c>
      <c r="AA13" s="1">
        <f t="shared" si="35"/>
        <v>3.9209598092304634E-2</v>
      </c>
      <c r="AB13" s="1">
        <v>78313</v>
      </c>
      <c r="AC13" s="1">
        <f t="shared" si="3"/>
        <v>0.48631948929405333</v>
      </c>
      <c r="AD13" s="1">
        <v>61.278341249999997</v>
      </c>
      <c r="AE13" s="1">
        <v>8313</v>
      </c>
      <c r="AF13">
        <f t="shared" si="114"/>
        <v>1.3165980361102312</v>
      </c>
      <c r="AG13">
        <f t="shared" si="36"/>
        <v>0.10615095833386538</v>
      </c>
      <c r="AH13">
        <f t="shared" si="116"/>
        <v>7.9362378186771387E-3</v>
      </c>
      <c r="AI13">
        <v>42582</v>
      </c>
      <c r="AJ13">
        <f t="shared" si="37"/>
        <v>55782.420000000006</v>
      </c>
      <c r="AK13">
        <f t="shared" si="4"/>
        <v>0.33484654032930955</v>
      </c>
      <c r="AL13">
        <f t="shared" si="38"/>
        <v>40.567501634999999</v>
      </c>
      <c r="AM13">
        <f t="shared" si="39"/>
        <v>8.2540587128593964E-3</v>
      </c>
      <c r="AN13">
        <v>56.94</v>
      </c>
      <c r="AO13">
        <f t="shared" si="40"/>
        <v>56940</v>
      </c>
      <c r="AP13">
        <f t="shared" si="41"/>
        <v>72883.199999999997</v>
      </c>
      <c r="AQ13">
        <f t="shared" si="5"/>
        <v>0.42797700487971013</v>
      </c>
      <c r="AR13">
        <f t="shared" si="42"/>
        <v>51.759606732800002</v>
      </c>
      <c r="AS13">
        <f t="shared" si="43"/>
        <v>8.2685520987256962E-3</v>
      </c>
      <c r="AT13" s="1">
        <v>8189</v>
      </c>
      <c r="AU13" s="1">
        <f t="shared" si="44"/>
        <v>4.5605417627337635E-2</v>
      </c>
      <c r="AV13" s="1">
        <f t="shared" si="45"/>
        <v>0.16311872210412326</v>
      </c>
      <c r="AW13" s="1">
        <v>78115</v>
      </c>
      <c r="AX13" s="1">
        <f t="shared" si="46"/>
        <v>95300.3</v>
      </c>
      <c r="AY13" s="1">
        <f t="shared" si="6"/>
        <v>0.53073757253761933</v>
      </c>
      <c r="AZ13" s="1">
        <f t="shared" si="47"/>
        <v>9.1335190592595358E-2</v>
      </c>
      <c r="BA13" s="1">
        <f t="shared" si="48"/>
        <v>60.4858519474</v>
      </c>
      <c r="BB13" s="1">
        <v>9109</v>
      </c>
      <c r="BC13" s="1">
        <f t="shared" si="49"/>
        <v>11112.98</v>
      </c>
      <c r="BD13" s="1">
        <f t="shared" si="50"/>
        <v>1.3570619123214067</v>
      </c>
      <c r="BE13" s="1">
        <f t="shared" si="51"/>
        <v>0.1166101260961403</v>
      </c>
      <c r="BF13" s="1">
        <f t="shared" si="52"/>
        <v>8.7745738127184177E-3</v>
      </c>
      <c r="BG13" s="1">
        <v>1807</v>
      </c>
      <c r="BH13" s="1">
        <f t="shared" si="53"/>
        <v>1.1221372149634855E-2</v>
      </c>
      <c r="BI13" s="1">
        <v>107713.379</v>
      </c>
      <c r="BJ13" s="1">
        <f t="shared" si="7"/>
        <v>0.66889425083213272</v>
      </c>
      <c r="BK13" s="1">
        <v>101.2013381</v>
      </c>
      <c r="BL13" s="1">
        <v>3433.72</v>
      </c>
      <c r="BM13">
        <f t="shared" si="8"/>
        <v>1.9002324294410624</v>
      </c>
      <c r="BN13">
        <f t="shared" si="9"/>
        <v>3.1878305479582064E-2</v>
      </c>
      <c r="BO13">
        <f t="shared" si="54"/>
        <v>6.609539590980297E-3</v>
      </c>
      <c r="BP13">
        <v>53848</v>
      </c>
      <c r="BQ13">
        <f t="shared" si="55"/>
        <v>70540.88</v>
      </c>
      <c r="BR13">
        <f t="shared" si="10"/>
        <v>0.42343752063436801</v>
      </c>
      <c r="BS13">
        <f t="shared" si="56"/>
        <v>59.525235619600004</v>
      </c>
      <c r="BT13">
        <f t="shared" si="57"/>
        <v>7.1135799165982947E-3</v>
      </c>
      <c r="BU13">
        <v>98.26</v>
      </c>
      <c r="BV13">
        <f t="shared" si="11"/>
        <v>98260</v>
      </c>
      <c r="BW13">
        <f t="shared" si="58"/>
        <v>125772.8</v>
      </c>
      <c r="BX13">
        <f t="shared" si="12"/>
        <v>0.73854971021215876</v>
      </c>
      <c r="BY13">
        <f t="shared" si="59"/>
        <v>76.247206297600002</v>
      </c>
      <c r="BZ13">
        <f t="shared" si="60"/>
        <v>9.6862527307496355E-3</v>
      </c>
      <c r="CA13" s="1">
        <v>2364</v>
      </c>
      <c r="CB13" s="1">
        <f t="shared" si="61"/>
        <v>1.3165369064724161E-2</v>
      </c>
      <c r="CC13" s="1">
        <f t="shared" si="62"/>
        <v>0.17324057068658616</v>
      </c>
      <c r="CD13" s="1">
        <v>138192</v>
      </c>
      <c r="CE13" s="1">
        <f t="shared" si="63"/>
        <v>168594.24</v>
      </c>
      <c r="CF13">
        <f t="shared" si="13"/>
        <v>0.93891937046813911</v>
      </c>
      <c r="CG13">
        <f t="shared" si="64"/>
        <v>0.40368880327508233</v>
      </c>
      <c r="CH13">
        <f t="shared" si="65"/>
        <v>90.917938902799989</v>
      </c>
      <c r="CI13" s="1">
        <v>5384</v>
      </c>
      <c r="CJ13" s="1">
        <f t="shared" si="66"/>
        <v>6568.48</v>
      </c>
      <c r="CK13">
        <f t="shared" si="67"/>
        <v>2.778544839255499</v>
      </c>
      <c r="CL13">
        <f t="shared" si="68"/>
        <v>3.8960287136737291E-2</v>
      </c>
      <c r="CM13">
        <f t="shared" si="69"/>
        <v>1.0327107959100724E-2</v>
      </c>
      <c r="CN13" s="1">
        <v>19711</v>
      </c>
      <c r="CO13" s="1">
        <f t="shared" si="70"/>
        <v>0.12240424263500423</v>
      </c>
      <c r="CP13" s="1">
        <v>132165319</v>
      </c>
      <c r="CQ13" s="1">
        <f t="shared" si="14"/>
        <v>820.73947414178554</v>
      </c>
      <c r="CR13" s="1">
        <v>108123.0123</v>
      </c>
      <c r="CS13" s="1">
        <v>26336261</v>
      </c>
      <c r="CT13">
        <f t="shared" si="71"/>
        <v>1336.1199837654101</v>
      </c>
      <c r="CU13">
        <f t="shared" si="72"/>
        <v>0.19926756277113816</v>
      </c>
      <c r="CV13">
        <f t="shared" si="73"/>
        <v>7.5907936403450125E-3</v>
      </c>
      <c r="CW13" s="1">
        <v>15633</v>
      </c>
      <c r="CX13" s="1">
        <f t="shared" si="74"/>
        <v>8.7061850502890364E-2</v>
      </c>
      <c r="CY13" s="1">
        <f t="shared" si="75"/>
        <v>-0.288735025611007</v>
      </c>
      <c r="CZ13" s="1">
        <v>98445431</v>
      </c>
      <c r="DA13" s="1">
        <f t="shared" si="15"/>
        <v>120103425.81999999</v>
      </c>
      <c r="DB13" s="1">
        <f t="shared" si="16"/>
        <v>668.86883538833376</v>
      </c>
      <c r="DC13" s="1">
        <f t="shared" si="76"/>
        <v>-0.18504122628225825</v>
      </c>
      <c r="DD13" s="1">
        <f t="shared" si="77"/>
        <v>93954.54819500001</v>
      </c>
      <c r="DE13" s="1">
        <v>19110601</v>
      </c>
      <c r="DF13" s="1">
        <f t="shared" si="78"/>
        <v>23314933.219999999</v>
      </c>
      <c r="DG13">
        <f t="shared" si="79"/>
        <v>1491.3921333077465</v>
      </c>
      <c r="DH13">
        <f t="shared" si="80"/>
        <v>0.19412379839141544</v>
      </c>
      <c r="DI13">
        <f t="shared" si="81"/>
        <v>7.1190681902925596E-3</v>
      </c>
      <c r="DJ13" s="1">
        <v>2744776</v>
      </c>
      <c r="DK13">
        <f t="shared" si="17"/>
        <v>17.044910328381935</v>
      </c>
      <c r="DL13">
        <v>1889.3069949999999</v>
      </c>
      <c r="DM13" s="1">
        <v>991613</v>
      </c>
      <c r="DN13" s="3">
        <f t="shared" si="82"/>
        <v>9.0217790827487702E-3</v>
      </c>
      <c r="DO13" s="1">
        <v>2027663</v>
      </c>
      <c r="DP13" s="1">
        <f t="shared" si="83"/>
        <v>2473748.86</v>
      </c>
      <c r="DQ13" s="3">
        <f t="shared" si="18"/>
        <v>13.776572214611109</v>
      </c>
      <c r="DR13" s="3">
        <f t="shared" si="84"/>
        <v>1905.8896083399998</v>
      </c>
      <c r="DS13" s="3">
        <f t="shared" si="85"/>
        <v>878128.02723282494</v>
      </c>
      <c r="DT13" s="3">
        <f t="shared" si="86"/>
        <v>7.2284208667312529E-3</v>
      </c>
      <c r="DU13" s="3">
        <f t="shared" si="87"/>
        <v>0.88555517851503052</v>
      </c>
      <c r="DV13" s="3">
        <f t="shared" si="88"/>
        <v>472.47742571504745</v>
      </c>
      <c r="DW13" s="3">
        <f t="shared" si="89"/>
        <v>0.11449850636814642</v>
      </c>
      <c r="DX13" s="3">
        <f t="shared" si="90"/>
        <v>135096121.37900001</v>
      </c>
      <c r="DY13" s="3">
        <f t="shared" si="91"/>
        <v>838.93959821029364</v>
      </c>
      <c r="DZ13" s="3">
        <f t="shared" si="92"/>
        <v>134910095</v>
      </c>
      <c r="EA13" s="3">
        <f t="shared" si="93"/>
        <v>126323.30000000002</v>
      </c>
      <c r="EB13" s="3">
        <f t="shared" si="94"/>
        <v>0.75828406096367762</v>
      </c>
      <c r="EC13" s="3">
        <f t="shared" si="95"/>
        <v>198656</v>
      </c>
      <c r="ED13" s="3">
        <f t="shared" si="96"/>
        <v>1.166526715091869</v>
      </c>
      <c r="EE13" s="9">
        <f t="shared" si="97"/>
        <v>122841069.22</v>
      </c>
      <c r="EF13" s="13">
        <f t="shared" si="98"/>
        <v>684.11506454595064</v>
      </c>
      <c r="EG13" s="14">
        <f t="shared" si="99"/>
        <v>-0.18454789116478651</v>
      </c>
      <c r="EH13" s="9">
        <f t="shared" si="100"/>
        <v>122577174.67999999</v>
      </c>
      <c r="EI13" s="10">
        <v>40677</v>
      </c>
      <c r="EJ13" s="10">
        <f t="shared" si="19"/>
        <v>53286.87</v>
      </c>
      <c r="EK13" s="10">
        <f t="shared" si="101"/>
        <v>0.31986643936347103</v>
      </c>
      <c r="EL13" s="10">
        <v>197000</v>
      </c>
      <c r="EM13" s="10">
        <f t="shared" si="20"/>
        <v>252160</v>
      </c>
      <c r="EN13" s="10">
        <f t="shared" si="102"/>
        <v>1.4807072350070758</v>
      </c>
      <c r="EO13" s="11">
        <v>1362584</v>
      </c>
      <c r="EP13" s="11">
        <f t="shared" si="21"/>
        <v>1662352.48</v>
      </c>
      <c r="EQ13" s="11">
        <f t="shared" si="103"/>
        <v>9.2578189149151822</v>
      </c>
      <c r="ER13" s="10">
        <f t="shared" si="104"/>
        <v>11.058392589285729</v>
      </c>
      <c r="ES13" s="10">
        <f t="shared" si="115"/>
        <v>6.5924511421319796</v>
      </c>
      <c r="ET13" s="12">
        <v>449498</v>
      </c>
      <c r="EU13" s="12">
        <f t="shared" si="22"/>
        <v>588842.38</v>
      </c>
      <c r="EV13" s="12">
        <f t="shared" si="105"/>
        <v>3.5346590151928976</v>
      </c>
      <c r="EW13" s="10">
        <v>69000</v>
      </c>
      <c r="EX13" s="10">
        <f t="shared" si="23"/>
        <v>88320</v>
      </c>
      <c r="EY13" s="10">
        <f t="shared" si="106"/>
        <v>0.51862334627151385</v>
      </c>
      <c r="EZ13" s="3">
        <f t="shared" si="107"/>
        <v>454879.12880710658</v>
      </c>
      <c r="FA13" s="3">
        <f t="shared" si="108"/>
        <v>2.5332705628535357</v>
      </c>
      <c r="FB13" s="3">
        <f t="shared" si="109"/>
        <v>6.5865529243179477</v>
      </c>
      <c r="FC13" s="1">
        <f t="shared" si="110"/>
        <v>5.5023</v>
      </c>
      <c r="FD13">
        <f>55.1/10</f>
        <v>5.51</v>
      </c>
      <c r="FE13">
        <f>6.1</f>
        <v>6.1</v>
      </c>
      <c r="FF13" s="7">
        <f t="shared" si="111"/>
        <v>7.5749999999999993</v>
      </c>
      <c r="FG13" s="1">
        <f t="shared" si="112"/>
        <v>0.29499999999999993</v>
      </c>
      <c r="FH13">
        <v>2.63E-2</v>
      </c>
      <c r="FI13">
        <v>3.4000000000000002E-2</v>
      </c>
      <c r="FJ13">
        <v>4.41E-2</v>
      </c>
      <c r="FK13">
        <v>4.0899999999999999E-2</v>
      </c>
      <c r="FL13" s="1">
        <f t="shared" si="113"/>
        <v>2.5666666666666672E-3</v>
      </c>
    </row>
    <row r="14" spans="1:168">
      <c r="A14" t="s">
        <v>126</v>
      </c>
      <c r="B14" s="1" t="s">
        <v>74</v>
      </c>
      <c r="C14" s="1">
        <v>142955</v>
      </c>
      <c r="D14" s="6">
        <f t="shared" si="0"/>
        <v>180390.2</v>
      </c>
      <c r="E14" s="6">
        <f t="shared" si="1"/>
        <v>205347</v>
      </c>
      <c r="F14" s="1">
        <v>267739</v>
      </c>
      <c r="G14" s="1">
        <f t="shared" si="2"/>
        <v>12478.4</v>
      </c>
      <c r="H14" s="1">
        <v>1.31</v>
      </c>
      <c r="I14" s="1">
        <v>1.28</v>
      </c>
      <c r="J14" s="1">
        <v>1.22</v>
      </c>
      <c r="K14">
        <v>64418</v>
      </c>
      <c r="L14">
        <f t="shared" si="24"/>
        <v>0.45061732713091535</v>
      </c>
      <c r="M14">
        <v>111002</v>
      </c>
      <c r="N14">
        <f t="shared" si="25"/>
        <v>0.41459032864095258</v>
      </c>
      <c r="O14">
        <f t="shared" si="26"/>
        <v>-7.9950317754860875E-2</v>
      </c>
      <c r="P14">
        <f t="shared" si="27"/>
        <v>0.26129807555607598</v>
      </c>
      <c r="Q14">
        <f t="shared" si="28"/>
        <v>0.13711536229901106</v>
      </c>
      <c r="R14">
        <f t="shared" si="29"/>
        <v>275.32756566658401</v>
      </c>
      <c r="S14">
        <f t="shared" si="30"/>
        <v>173.0376527643065</v>
      </c>
      <c r="T14">
        <f t="shared" si="31"/>
        <v>103.83812898464552</v>
      </c>
      <c r="U14">
        <v>92297.113769999996</v>
      </c>
      <c r="V14">
        <f t="shared" si="32"/>
        <v>1.1250419947410836E-3</v>
      </c>
      <c r="W14">
        <f t="shared" si="33"/>
        <v>105.8466229424925</v>
      </c>
      <c r="X14">
        <v>79429.064259999999</v>
      </c>
      <c r="Y14">
        <f t="shared" si="34"/>
        <v>1.3325930996243177E-3</v>
      </c>
      <c r="Z14" s="1">
        <v>7861</v>
      </c>
      <c r="AA14" s="1">
        <f t="shared" si="35"/>
        <v>5.4989332307369451E-2</v>
      </c>
      <c r="AB14" s="1">
        <v>85200</v>
      </c>
      <c r="AC14" s="1">
        <f t="shared" si="3"/>
        <v>0.59599174565422686</v>
      </c>
      <c r="AD14" s="1">
        <v>61.278341249999997</v>
      </c>
      <c r="AE14" s="1">
        <v>9525</v>
      </c>
      <c r="AF14">
        <f t="shared" si="114"/>
        <v>1.2116779035746088</v>
      </c>
      <c r="AG14">
        <f t="shared" si="36"/>
        <v>0.11179577464788733</v>
      </c>
      <c r="AH14">
        <f t="shared" si="116"/>
        <v>9.725977131507732E-3</v>
      </c>
      <c r="AI14">
        <v>52683</v>
      </c>
      <c r="AJ14">
        <f t="shared" si="37"/>
        <v>69014.73</v>
      </c>
      <c r="AK14">
        <f t="shared" si="4"/>
        <v>0.38258580565906569</v>
      </c>
      <c r="AL14">
        <f t="shared" si="38"/>
        <v>40.567501634999999</v>
      </c>
      <c r="AM14">
        <f t="shared" si="39"/>
        <v>9.4308446475536989E-3</v>
      </c>
      <c r="AN14">
        <v>91.4</v>
      </c>
      <c r="AO14">
        <f t="shared" si="40"/>
        <v>91400</v>
      </c>
      <c r="AP14">
        <f t="shared" si="41"/>
        <v>116992</v>
      </c>
      <c r="AQ14">
        <f t="shared" si="5"/>
        <v>0.56972831353757303</v>
      </c>
      <c r="AR14">
        <f t="shared" si="42"/>
        <v>51.759606732800002</v>
      </c>
      <c r="AS14">
        <f t="shared" si="43"/>
        <v>1.1007199426353772E-2</v>
      </c>
      <c r="AT14" s="1">
        <v>17114</v>
      </c>
      <c r="AU14" s="1">
        <f t="shared" si="44"/>
        <v>6.3920459850824868E-2</v>
      </c>
      <c r="AV14" s="1">
        <f t="shared" si="45"/>
        <v>0.16241563897400701</v>
      </c>
      <c r="AW14" s="1">
        <v>137605</v>
      </c>
      <c r="AX14" s="1">
        <f t="shared" si="46"/>
        <v>167878.1</v>
      </c>
      <c r="AY14" s="1">
        <f t="shared" si="6"/>
        <v>0.62702146493413369</v>
      </c>
      <c r="AZ14" s="1">
        <f t="shared" si="47"/>
        <v>5.2064008446702829E-2</v>
      </c>
      <c r="BA14" s="1">
        <f t="shared" si="48"/>
        <v>60.4858519474</v>
      </c>
      <c r="BB14" s="1">
        <v>17144</v>
      </c>
      <c r="BC14" s="1">
        <f t="shared" si="49"/>
        <v>20915.68</v>
      </c>
      <c r="BD14" s="1">
        <f t="shared" si="50"/>
        <v>1.2221385999766274</v>
      </c>
      <c r="BE14" s="1">
        <f t="shared" si="51"/>
        <v>0.12458849605755605</v>
      </c>
      <c r="BF14" s="1">
        <f t="shared" si="52"/>
        <v>1.0366415364032685E-2</v>
      </c>
      <c r="BG14" s="1">
        <v>1840</v>
      </c>
      <c r="BH14" s="1">
        <f t="shared" si="53"/>
        <v>1.2871183239480955E-2</v>
      </c>
      <c r="BI14" s="1">
        <v>50757.728999999999</v>
      </c>
      <c r="BJ14" s="1">
        <f t="shared" si="7"/>
        <v>0.35506088629288934</v>
      </c>
      <c r="BK14" s="1">
        <v>101.2013381</v>
      </c>
      <c r="BL14" s="1">
        <v>3162.2170000000001</v>
      </c>
      <c r="BM14">
        <f t="shared" si="8"/>
        <v>1.718596195652174</v>
      </c>
      <c r="BN14">
        <f t="shared" si="9"/>
        <v>6.2300206536033166E-2</v>
      </c>
      <c r="BO14">
        <f t="shared" si="54"/>
        <v>3.5084603915221291E-3</v>
      </c>
      <c r="BP14">
        <v>37000</v>
      </c>
      <c r="BQ14">
        <f t="shared" si="55"/>
        <v>48470</v>
      </c>
      <c r="BR14">
        <f t="shared" si="10"/>
        <v>0.26869530606429837</v>
      </c>
      <c r="BS14">
        <f t="shared" si="56"/>
        <v>59.525235619600004</v>
      </c>
      <c r="BT14">
        <f t="shared" si="57"/>
        <v>4.5139729942677365E-3</v>
      </c>
      <c r="BU14">
        <v>61.74</v>
      </c>
      <c r="BV14">
        <f t="shared" si="11"/>
        <v>61740</v>
      </c>
      <c r="BW14">
        <f t="shared" si="58"/>
        <v>79027.199999999997</v>
      </c>
      <c r="BX14">
        <f t="shared" si="12"/>
        <v>0.38484711244868441</v>
      </c>
      <c r="BY14">
        <f t="shared" si="59"/>
        <v>76.247206297600002</v>
      </c>
      <c r="BZ14">
        <f t="shared" si="60"/>
        <v>5.0473601740448036E-3</v>
      </c>
      <c r="CA14" s="1">
        <v>5116</v>
      </c>
      <c r="CB14" s="1">
        <f t="shared" si="61"/>
        <v>1.9108161306346853E-2</v>
      </c>
      <c r="CC14" s="1">
        <f t="shared" si="62"/>
        <v>0.48456913018957298</v>
      </c>
      <c r="CD14" s="1">
        <v>96102</v>
      </c>
      <c r="CE14" s="1">
        <f t="shared" si="63"/>
        <v>117244.44</v>
      </c>
      <c r="CF14">
        <f t="shared" si="13"/>
        <v>0.43790572161694785</v>
      </c>
      <c r="CG14">
        <f t="shared" si="64"/>
        <v>0.23332571545410916</v>
      </c>
      <c r="CH14">
        <f t="shared" si="65"/>
        <v>90.917938902799989</v>
      </c>
      <c r="CI14" s="1">
        <v>7139</v>
      </c>
      <c r="CJ14" s="1">
        <f t="shared" si="66"/>
        <v>8709.58</v>
      </c>
      <c r="CK14">
        <f t="shared" si="67"/>
        <v>1.7024198592650508</v>
      </c>
      <c r="CL14">
        <f t="shared" si="68"/>
        <v>7.4285654825081676E-2</v>
      </c>
      <c r="CM14">
        <f t="shared" si="69"/>
        <v>4.8164941583762819E-3</v>
      </c>
      <c r="CN14" s="1">
        <v>2398</v>
      </c>
      <c r="CO14" s="1">
        <f t="shared" si="70"/>
        <v>1.6774509461019202E-2</v>
      </c>
      <c r="CP14" s="1">
        <v>14708222</v>
      </c>
      <c r="CQ14" s="1">
        <f t="shared" si="14"/>
        <v>102.8870763526984</v>
      </c>
      <c r="CR14" s="1">
        <v>108123.0123</v>
      </c>
      <c r="CS14" s="1">
        <v>3318501</v>
      </c>
      <c r="CT14">
        <f t="shared" si="71"/>
        <v>1383.8619683069223</v>
      </c>
      <c r="CU14">
        <f t="shared" si="72"/>
        <v>0.22562217241485749</v>
      </c>
      <c r="CV14">
        <f t="shared" si="73"/>
        <v>9.5157426864159243E-4</v>
      </c>
      <c r="CW14" s="1">
        <v>3545</v>
      </c>
      <c r="CX14" s="1">
        <f t="shared" si="74"/>
        <v>1.3240506612783346E-2</v>
      </c>
      <c r="CY14" s="1">
        <f t="shared" si="75"/>
        <v>-0.21067697129672927</v>
      </c>
      <c r="CZ14" s="1">
        <v>22995202</v>
      </c>
      <c r="DA14" s="1">
        <f t="shared" si="15"/>
        <v>28054146.439999998</v>
      </c>
      <c r="DB14" s="1">
        <f t="shared" si="16"/>
        <v>104.78169575594141</v>
      </c>
      <c r="DC14" s="1">
        <f t="shared" si="76"/>
        <v>1.841455186021838E-2</v>
      </c>
      <c r="DD14" s="1">
        <f t="shared" si="77"/>
        <v>93954.54819500001</v>
      </c>
      <c r="DE14" s="1">
        <v>3631492</v>
      </c>
      <c r="DF14" s="1">
        <f t="shared" si="78"/>
        <v>4430420.24</v>
      </c>
      <c r="DG14">
        <f t="shared" si="79"/>
        <v>1249.7659351198872</v>
      </c>
      <c r="DH14">
        <f t="shared" si="80"/>
        <v>0.15792390082070165</v>
      </c>
      <c r="DI14">
        <f t="shared" si="81"/>
        <v>1.1152381419414627E-3</v>
      </c>
      <c r="DJ14" s="1">
        <v>2688411</v>
      </c>
      <c r="DK14">
        <f t="shared" si="17"/>
        <v>18.805994893497953</v>
      </c>
      <c r="DL14">
        <v>1889.3069949999999</v>
      </c>
      <c r="DM14" s="1">
        <v>1250044</v>
      </c>
      <c r="DN14" s="3">
        <f t="shared" si="82"/>
        <v>9.9539116423469094E-3</v>
      </c>
      <c r="DO14" s="1">
        <v>3433129</v>
      </c>
      <c r="DP14" s="1">
        <f t="shared" si="83"/>
        <v>4188417.38</v>
      </c>
      <c r="DQ14" s="3">
        <f t="shared" si="18"/>
        <v>15.643658114805836</v>
      </c>
      <c r="DR14" s="3">
        <f t="shared" si="84"/>
        <v>1905.8896083399998</v>
      </c>
      <c r="DS14" s="3">
        <f t="shared" si="85"/>
        <v>1673652.9892096457</v>
      </c>
      <c r="DT14" s="3">
        <f t="shared" si="86"/>
        <v>8.2080609739150732E-3</v>
      </c>
      <c r="DU14" s="3">
        <f t="shared" si="87"/>
        <v>1.3388752629584604</v>
      </c>
      <c r="DV14" s="3">
        <f t="shared" si="88"/>
        <v>439.91378933087958</v>
      </c>
      <c r="DW14" s="3">
        <f t="shared" si="89"/>
        <v>0.12608603421701955</v>
      </c>
      <c r="DX14" s="3">
        <f t="shared" si="90"/>
        <v>17532590.729000002</v>
      </c>
      <c r="DY14" s="3">
        <f t="shared" si="91"/>
        <v>122.64412387814349</v>
      </c>
      <c r="DZ14" s="3">
        <f t="shared" si="92"/>
        <v>17396633</v>
      </c>
      <c r="EA14" s="3">
        <f t="shared" si="93"/>
        <v>117484.73</v>
      </c>
      <c r="EB14" s="3">
        <f t="shared" si="94"/>
        <v>0.65128111172336411</v>
      </c>
      <c r="EC14" s="3">
        <f t="shared" si="95"/>
        <v>196019.20000000001</v>
      </c>
      <c r="ED14" s="3">
        <f t="shared" si="96"/>
        <v>0.95457542598625744</v>
      </c>
      <c r="EE14" s="9">
        <f t="shared" si="97"/>
        <v>32527686.359999996</v>
      </c>
      <c r="EF14" s="13">
        <f t="shared" si="98"/>
        <v>121.49028105729832</v>
      </c>
      <c r="EG14" s="14">
        <f t="shared" si="99"/>
        <v>-9.408056288058313E-3</v>
      </c>
      <c r="EH14" s="9">
        <f t="shared" si="100"/>
        <v>32242563.819999997</v>
      </c>
      <c r="EI14" s="10">
        <v>246025</v>
      </c>
      <c r="EJ14" s="10">
        <f t="shared" si="19"/>
        <v>322292.75</v>
      </c>
      <c r="EK14" s="10">
        <f t="shared" si="101"/>
        <v>1.7866422344451083</v>
      </c>
      <c r="EL14" s="10">
        <v>99000</v>
      </c>
      <c r="EM14" s="10">
        <f t="shared" si="20"/>
        <v>126720</v>
      </c>
      <c r="EN14" s="10">
        <f t="shared" si="102"/>
        <v>0.61710178380984382</v>
      </c>
      <c r="EO14" s="11">
        <v>907326</v>
      </c>
      <c r="EP14" s="11">
        <f t="shared" si="21"/>
        <v>1106937.72</v>
      </c>
      <c r="EQ14" s="11">
        <f t="shared" si="103"/>
        <v>4.1343910300703293</v>
      </c>
      <c r="ER14" s="10">
        <f t="shared" si="104"/>
        <v>6.5381350483252811</v>
      </c>
      <c r="ES14" s="10">
        <f t="shared" si="115"/>
        <v>8.7353039772727268</v>
      </c>
      <c r="ET14" s="12">
        <v>55104</v>
      </c>
      <c r="EU14" s="12">
        <f t="shared" si="22"/>
        <v>72186.240000000005</v>
      </c>
      <c r="EV14" s="12">
        <f t="shared" si="105"/>
        <v>0.40016719311802967</v>
      </c>
      <c r="EW14" s="10">
        <v>0</v>
      </c>
      <c r="EX14" s="10">
        <f t="shared" si="23"/>
        <v>0</v>
      </c>
      <c r="EY14" s="10">
        <f t="shared" si="106"/>
        <v>0</v>
      </c>
      <c r="EZ14" s="3">
        <f t="shared" si="107"/>
        <v>0</v>
      </c>
      <c r="FA14" s="3">
        <f t="shared" si="108"/>
        <v>0</v>
      </c>
      <c r="FB14" s="3">
        <f t="shared" si="109"/>
        <v>0.40016719311802967</v>
      </c>
      <c r="FC14" s="1">
        <f t="shared" si="110"/>
        <v>3.7423000000000002</v>
      </c>
      <c r="FD14">
        <f>37.5/10</f>
        <v>3.75</v>
      </c>
      <c r="FE14">
        <f>5.7</f>
        <v>5.7</v>
      </c>
      <c r="FF14" s="7">
        <f t="shared" si="111"/>
        <v>10.574999999999999</v>
      </c>
      <c r="FG14" s="1">
        <f t="shared" si="112"/>
        <v>0.97500000000000009</v>
      </c>
      <c r="FH14">
        <v>2.63E-2</v>
      </c>
      <c r="FI14">
        <v>3.4000000000000002E-2</v>
      </c>
      <c r="FJ14">
        <v>4.41E-2</v>
      </c>
      <c r="FK14">
        <v>4.0899999999999999E-2</v>
      </c>
      <c r="FL14" s="1">
        <f t="shared" si="113"/>
        <v>2.5666666666666672E-3</v>
      </c>
    </row>
    <row r="15" spans="1:168">
      <c r="A15" t="s">
        <v>126</v>
      </c>
      <c r="B15" s="1" t="s">
        <v>75</v>
      </c>
      <c r="C15" s="1">
        <v>155503</v>
      </c>
      <c r="D15" s="6">
        <f t="shared" si="0"/>
        <v>171895</v>
      </c>
      <c r="E15" s="6">
        <f t="shared" si="1"/>
        <v>182823</v>
      </c>
      <c r="F15" s="1">
        <v>210143</v>
      </c>
      <c r="G15" s="1">
        <f t="shared" si="2"/>
        <v>5464</v>
      </c>
      <c r="H15" s="1">
        <v>1.31</v>
      </c>
      <c r="I15" s="1">
        <v>1.28</v>
      </c>
      <c r="J15" s="1">
        <v>1.22</v>
      </c>
      <c r="K15">
        <v>68855</v>
      </c>
      <c r="L15">
        <f t="shared" si="24"/>
        <v>0.44278888510189512</v>
      </c>
      <c r="M15">
        <v>79375</v>
      </c>
      <c r="N15">
        <f t="shared" si="25"/>
        <v>0.37771898183617825</v>
      </c>
      <c r="O15">
        <f t="shared" si="26"/>
        <v>-0.14695468981960311</v>
      </c>
      <c r="P15">
        <f t="shared" si="27"/>
        <v>0.13617824809429419</v>
      </c>
      <c r="Q15">
        <f t="shared" si="28"/>
        <v>0.11671622502639098</v>
      </c>
      <c r="R15">
        <f t="shared" si="29"/>
        <v>407.12980060297332</v>
      </c>
      <c r="S15">
        <f t="shared" si="30"/>
        <v>334.97467708833676</v>
      </c>
      <c r="T15">
        <f t="shared" si="31"/>
        <v>384.38234670713751</v>
      </c>
      <c r="U15">
        <v>92297.113769999996</v>
      </c>
      <c r="V15">
        <f t="shared" si="32"/>
        <v>4.1646193581415776E-3</v>
      </c>
      <c r="W15">
        <f t="shared" si="33"/>
        <v>309.8711755328514</v>
      </c>
      <c r="X15">
        <v>79429.064259999999</v>
      </c>
      <c r="Y15">
        <f t="shared" si="34"/>
        <v>3.901231601048845E-3</v>
      </c>
      <c r="Z15" s="1">
        <v>7865</v>
      </c>
      <c r="AA15" s="1">
        <f t="shared" si="35"/>
        <v>5.057780235751079E-2</v>
      </c>
      <c r="AB15" s="1">
        <v>69693</v>
      </c>
      <c r="AC15" s="1">
        <f t="shared" si="3"/>
        <v>0.44817784865886834</v>
      </c>
      <c r="AD15" s="1">
        <v>61.278341249999997</v>
      </c>
      <c r="AE15" s="1">
        <v>9102</v>
      </c>
      <c r="AF15">
        <f t="shared" si="114"/>
        <v>1.1572790845518117</v>
      </c>
      <c r="AG15">
        <f t="shared" si="36"/>
        <v>0.13060135164220224</v>
      </c>
      <c r="AH15">
        <f t="shared" si="116"/>
        <v>7.3138051637268876E-3</v>
      </c>
      <c r="AI15">
        <v>39168</v>
      </c>
      <c r="AJ15">
        <f t="shared" si="37"/>
        <v>51310.080000000002</v>
      </c>
      <c r="AK15">
        <f t="shared" si="4"/>
        <v>0.29849664039093632</v>
      </c>
      <c r="AL15">
        <f t="shared" si="38"/>
        <v>40.567501634999999</v>
      </c>
      <c r="AM15">
        <f t="shared" si="39"/>
        <v>7.3580237471021753E-3</v>
      </c>
      <c r="AN15">
        <v>52.51</v>
      </c>
      <c r="AO15">
        <f t="shared" si="40"/>
        <v>52510</v>
      </c>
      <c r="AP15">
        <f t="shared" si="41"/>
        <v>67212.800000000003</v>
      </c>
      <c r="AQ15">
        <f t="shared" si="5"/>
        <v>0.36763864502825139</v>
      </c>
      <c r="AR15">
        <f t="shared" si="42"/>
        <v>51.759606732800002</v>
      </c>
      <c r="AS15">
        <f t="shared" si="43"/>
        <v>7.1028098595517187E-3</v>
      </c>
      <c r="AT15" s="1">
        <v>10306</v>
      </c>
      <c r="AU15" s="1">
        <f t="shared" si="44"/>
        <v>4.9042794668392474E-2</v>
      </c>
      <c r="AV15" s="1">
        <f t="shared" si="45"/>
        <v>-3.0349434288743225E-2</v>
      </c>
      <c r="AW15" s="1">
        <v>77628</v>
      </c>
      <c r="AX15" s="1">
        <f t="shared" si="46"/>
        <v>94706.16</v>
      </c>
      <c r="AY15" s="1">
        <f t="shared" si="6"/>
        <v>0.45067482618978505</v>
      </c>
      <c r="AZ15" s="1">
        <f t="shared" si="47"/>
        <v>5.5713988060514148E-3</v>
      </c>
      <c r="BA15" s="1">
        <f t="shared" si="48"/>
        <v>60.4858519474</v>
      </c>
      <c r="BB15" s="1">
        <v>9241</v>
      </c>
      <c r="BC15" s="1">
        <f t="shared" si="49"/>
        <v>11274.02</v>
      </c>
      <c r="BD15" s="1">
        <f t="shared" si="50"/>
        <v>1.0939278090432758</v>
      </c>
      <c r="BE15" s="1">
        <f t="shared" si="51"/>
        <v>0.11904209821198537</v>
      </c>
      <c r="BF15" s="1">
        <f t="shared" si="52"/>
        <v>7.4509130925642427E-3</v>
      </c>
      <c r="BG15" s="1">
        <v>4308</v>
      </c>
      <c r="BH15" s="1">
        <f t="shared" si="53"/>
        <v>2.7703645588831084E-2</v>
      </c>
      <c r="BI15" s="1">
        <v>181814.06</v>
      </c>
      <c r="BJ15" s="1">
        <f t="shared" si="7"/>
        <v>1.1691996938965807</v>
      </c>
      <c r="BK15" s="1">
        <v>101.2013381</v>
      </c>
      <c r="BL15" s="1">
        <v>7813.1040000000003</v>
      </c>
      <c r="BM15">
        <f t="shared" si="8"/>
        <v>1.8136267409470752</v>
      </c>
      <c r="BN15">
        <f t="shared" si="9"/>
        <v>4.2973046198957331E-2</v>
      </c>
      <c r="BO15">
        <f t="shared" si="54"/>
        <v>1.1553203898759325E-2</v>
      </c>
      <c r="BP15">
        <v>75279</v>
      </c>
      <c r="BQ15">
        <f t="shared" si="55"/>
        <v>98615.49</v>
      </c>
      <c r="BR15">
        <f t="shared" si="10"/>
        <v>0.57369609354547835</v>
      </c>
      <c r="BS15">
        <f t="shared" si="56"/>
        <v>59.525235619600004</v>
      </c>
      <c r="BT15">
        <f t="shared" si="57"/>
        <v>9.6378634636865874E-3</v>
      </c>
      <c r="BU15">
        <v>136.34</v>
      </c>
      <c r="BV15">
        <f t="shared" si="11"/>
        <v>136340</v>
      </c>
      <c r="BW15">
        <f t="shared" si="58"/>
        <v>174515.20000000001</v>
      </c>
      <c r="BX15">
        <f t="shared" si="12"/>
        <v>0.95455823392023986</v>
      </c>
      <c r="BY15">
        <f t="shared" si="59"/>
        <v>76.247206297600002</v>
      </c>
      <c r="BZ15">
        <f t="shared" si="60"/>
        <v>1.2519255199915253E-2</v>
      </c>
      <c r="CA15" s="1">
        <v>4884</v>
      </c>
      <c r="CB15" s="1">
        <f t="shared" si="61"/>
        <v>2.3241316627249063E-2</v>
      </c>
      <c r="CC15" s="1">
        <f t="shared" si="62"/>
        <v>-0.16107370949695657</v>
      </c>
      <c r="CD15" s="1">
        <v>152476</v>
      </c>
      <c r="CE15" s="1">
        <f t="shared" si="63"/>
        <v>186020.72</v>
      </c>
      <c r="CF15">
        <f t="shared" si="13"/>
        <v>0.88521016641049188</v>
      </c>
      <c r="CG15">
        <f t="shared" si="64"/>
        <v>-0.24289223557666154</v>
      </c>
      <c r="CH15">
        <f t="shared" si="65"/>
        <v>90.917938902799989</v>
      </c>
      <c r="CI15" s="1">
        <v>7338</v>
      </c>
      <c r="CJ15" s="1">
        <f t="shared" si="66"/>
        <v>8952.36</v>
      </c>
      <c r="CK15">
        <f t="shared" si="67"/>
        <v>1.8329975429975431</v>
      </c>
      <c r="CL15">
        <f t="shared" si="68"/>
        <v>4.8125606652850289E-2</v>
      </c>
      <c r="CM15">
        <f t="shared" si="69"/>
        <v>9.7363642103333054E-3</v>
      </c>
      <c r="CN15" s="1">
        <v>7065</v>
      </c>
      <c r="CO15" s="1">
        <f t="shared" si="70"/>
        <v>4.5433207076390807E-2</v>
      </c>
      <c r="CP15" s="1">
        <v>59521101</v>
      </c>
      <c r="CQ15" s="1">
        <f t="shared" si="14"/>
        <v>382.76496916458206</v>
      </c>
      <c r="CR15" s="1">
        <v>108123.0123</v>
      </c>
      <c r="CS15" s="1">
        <v>7815448</v>
      </c>
      <c r="CT15">
        <f t="shared" si="71"/>
        <v>1106.2205237084218</v>
      </c>
      <c r="CU15">
        <f t="shared" si="72"/>
        <v>0.13130550122048312</v>
      </c>
      <c r="CV15">
        <f t="shared" si="73"/>
        <v>3.5400879148886053E-3</v>
      </c>
      <c r="CW15" s="1">
        <v>7711</v>
      </c>
      <c r="CX15" s="1">
        <f t="shared" si="74"/>
        <v>3.6694060711039624E-2</v>
      </c>
      <c r="CY15" s="1">
        <f t="shared" si="75"/>
        <v>-0.19235151836535103</v>
      </c>
      <c r="CZ15" s="1">
        <v>53144698</v>
      </c>
      <c r="DA15" s="1">
        <f t="shared" si="15"/>
        <v>64836531.559999995</v>
      </c>
      <c r="DB15" s="1">
        <f t="shared" si="16"/>
        <v>308.53529054025114</v>
      </c>
      <c r="DC15" s="1">
        <f t="shared" si="76"/>
        <v>-0.19393017805768292</v>
      </c>
      <c r="DD15" s="1">
        <f t="shared" si="77"/>
        <v>93954.54819500001</v>
      </c>
      <c r="DE15" s="1">
        <v>6271335</v>
      </c>
      <c r="DF15" s="1">
        <f t="shared" si="78"/>
        <v>7651028.7000000002</v>
      </c>
      <c r="DG15">
        <f t="shared" si="79"/>
        <v>992.22263000907799</v>
      </c>
      <c r="DH15">
        <f t="shared" si="80"/>
        <v>0.11800490427097733</v>
      </c>
      <c r="DI15">
        <f t="shared" si="81"/>
        <v>3.2838781779876676E-3</v>
      </c>
      <c r="DJ15" s="1">
        <v>368466</v>
      </c>
      <c r="DK15">
        <f t="shared" si="17"/>
        <v>2.3695105560664422</v>
      </c>
      <c r="DL15">
        <v>1889.3069949999999</v>
      </c>
      <c r="DM15" s="1">
        <v>357543</v>
      </c>
      <c r="DN15" s="3">
        <f t="shared" si="82"/>
        <v>1.2541691542651819E-3</v>
      </c>
      <c r="DO15" s="1">
        <v>498719</v>
      </c>
      <c r="DP15" s="1">
        <f t="shared" si="83"/>
        <v>608437.17999999993</v>
      </c>
      <c r="DQ15" s="3">
        <f t="shared" si="18"/>
        <v>2.8953483104362263</v>
      </c>
      <c r="DR15" s="3">
        <f t="shared" si="84"/>
        <v>1905.8896083399998</v>
      </c>
      <c r="DS15" s="3">
        <f t="shared" si="85"/>
        <v>350188.50871044089</v>
      </c>
      <c r="DT15" s="3">
        <f t="shared" si="86"/>
        <v>1.5191584537564218E-3</v>
      </c>
      <c r="DU15" s="3">
        <f t="shared" si="87"/>
        <v>0.97943047049009746</v>
      </c>
      <c r="DV15" s="3">
        <f t="shared" si="88"/>
        <v>350.7234974825065</v>
      </c>
      <c r="DW15" s="3">
        <f t="shared" si="89"/>
        <v>9.8342084699575935E-2</v>
      </c>
      <c r="DX15" s="3">
        <f t="shared" si="90"/>
        <v>60141074.060000002</v>
      </c>
      <c r="DY15" s="3">
        <f t="shared" si="91"/>
        <v>386.75185726320393</v>
      </c>
      <c r="DZ15" s="3">
        <f t="shared" si="92"/>
        <v>59889567</v>
      </c>
      <c r="EA15" s="3">
        <f t="shared" si="93"/>
        <v>149925.57</v>
      </c>
      <c r="EB15" s="3">
        <f t="shared" si="94"/>
        <v>0.87219273393641472</v>
      </c>
      <c r="EC15" s="3">
        <f t="shared" si="95"/>
        <v>241728</v>
      </c>
      <c r="ED15" s="3">
        <f t="shared" si="96"/>
        <v>1.3221968789484912</v>
      </c>
      <c r="EE15" s="9">
        <f t="shared" si="97"/>
        <v>65725695.619999997</v>
      </c>
      <c r="EF15" s="13">
        <f t="shared" si="98"/>
        <v>312.76652384328764</v>
      </c>
      <c r="EG15" s="14">
        <f t="shared" si="99"/>
        <v>-0.19129923239015134</v>
      </c>
      <c r="EH15" s="9">
        <f t="shared" si="100"/>
        <v>65444968.739999995</v>
      </c>
      <c r="EI15" s="10">
        <v>474862</v>
      </c>
      <c r="EJ15" s="10">
        <f t="shared" si="19"/>
        <v>622069.22</v>
      </c>
      <c r="EK15" s="10">
        <f t="shared" si="101"/>
        <v>3.6188907181709764</v>
      </c>
      <c r="EL15" s="10">
        <v>299000</v>
      </c>
      <c r="EM15" s="10">
        <f t="shared" si="20"/>
        <v>382720</v>
      </c>
      <c r="EN15" s="10">
        <f t="shared" si="102"/>
        <v>2.0933908753275023</v>
      </c>
      <c r="EO15" s="11">
        <v>2917652</v>
      </c>
      <c r="EP15" s="11">
        <f t="shared" si="21"/>
        <v>3559535.44</v>
      </c>
      <c r="EQ15" s="11">
        <f t="shared" si="103"/>
        <v>16.938634358508253</v>
      </c>
      <c r="ER15" s="10">
        <f t="shared" si="104"/>
        <v>22.650915952006731</v>
      </c>
      <c r="ES15" s="10">
        <f t="shared" si="115"/>
        <v>9.3006256270903016</v>
      </c>
      <c r="ET15" s="12">
        <v>3689</v>
      </c>
      <c r="EU15" s="12">
        <f t="shared" si="22"/>
        <v>4832.59</v>
      </c>
      <c r="EV15" s="12">
        <f t="shared" si="105"/>
        <v>2.8113615870153291E-2</v>
      </c>
      <c r="EW15" s="10">
        <v>0</v>
      </c>
      <c r="EX15" s="10">
        <f t="shared" si="23"/>
        <v>0</v>
      </c>
      <c r="EY15" s="10">
        <f t="shared" si="106"/>
        <v>0</v>
      </c>
      <c r="EZ15" s="3">
        <f t="shared" si="107"/>
        <v>0</v>
      </c>
      <c r="FA15" s="3">
        <f t="shared" si="108"/>
        <v>0</v>
      </c>
      <c r="FB15" s="3">
        <f t="shared" si="109"/>
        <v>2.8113615870153291E-2</v>
      </c>
      <c r="FC15" s="1">
        <f t="shared" si="110"/>
        <v>3.7623000000000006</v>
      </c>
      <c r="FD15">
        <f>37.7/10</f>
        <v>3.7700000000000005</v>
      </c>
      <c r="FE15">
        <f>4.3</f>
        <v>4.3</v>
      </c>
      <c r="FF15" s="7">
        <f t="shared" si="111"/>
        <v>5.6249999999999982</v>
      </c>
      <c r="FG15" s="1">
        <f t="shared" si="112"/>
        <v>0.26499999999999968</v>
      </c>
      <c r="FH15">
        <v>2.63E-2</v>
      </c>
      <c r="FI15">
        <v>3.4000000000000002E-2</v>
      </c>
      <c r="FJ15">
        <v>4.41E-2</v>
      </c>
      <c r="FK15">
        <v>4.0899999999999999E-2</v>
      </c>
      <c r="FL15" s="1">
        <f t="shared" si="113"/>
        <v>2.5666666666666672E-3</v>
      </c>
    </row>
    <row r="16" spans="1:168">
      <c r="A16" t="s">
        <v>127</v>
      </c>
      <c r="B16" s="1" t="s">
        <v>76</v>
      </c>
      <c r="C16" s="1">
        <v>388865</v>
      </c>
      <c r="D16" s="6">
        <v>416154</v>
      </c>
      <c r="E16" s="6">
        <v>434347</v>
      </c>
      <c r="F16" s="1">
        <v>479828</v>
      </c>
      <c r="G16" s="1">
        <f t="shared" si="2"/>
        <v>9096.2999999999993</v>
      </c>
      <c r="H16" s="1">
        <v>1.31</v>
      </c>
      <c r="I16" s="1">
        <v>1.28</v>
      </c>
      <c r="J16" s="1">
        <v>1.22</v>
      </c>
      <c r="K16" s="1">
        <v>176240</v>
      </c>
      <c r="L16">
        <f t="shared" si="24"/>
        <v>0.45321641186530032</v>
      </c>
      <c r="M16" s="1">
        <v>189081</v>
      </c>
      <c r="N16">
        <f t="shared" si="25"/>
        <v>0.39405995481714279</v>
      </c>
      <c r="O16">
        <f t="shared" si="26"/>
        <v>-0.13052584923985347</v>
      </c>
      <c r="P16">
        <f t="shared" si="27"/>
        <v>0.11861876947550903</v>
      </c>
      <c r="Q16">
        <f t="shared" si="28"/>
        <v>0.118865518143947</v>
      </c>
      <c r="R16">
        <f t="shared" si="29"/>
        <v>437.51864926750784</v>
      </c>
      <c r="S16">
        <f t="shared" si="30"/>
        <v>434.78217597117032</v>
      </c>
      <c r="T16">
        <f t="shared" si="31"/>
        <v>563.7433970401039</v>
      </c>
      <c r="U16">
        <v>92297.113769999996</v>
      </c>
      <c r="V16">
        <f t="shared" si="32"/>
        <v>6.1079201072844549E-3</v>
      </c>
      <c r="W16">
        <f t="shared" si="33"/>
        <v>494.54408154588725</v>
      </c>
      <c r="X16">
        <v>79429.064259999999</v>
      </c>
      <c r="Y16">
        <f t="shared" si="34"/>
        <v>6.2262357759505504E-3</v>
      </c>
      <c r="Z16" s="1">
        <v>20911</v>
      </c>
      <c r="AA16" s="1">
        <f t="shared" si="35"/>
        <v>5.3774446144548876E-2</v>
      </c>
      <c r="AB16" s="1">
        <v>198719</v>
      </c>
      <c r="AC16" s="1">
        <f t="shared" si="3"/>
        <v>0.51102310570506471</v>
      </c>
      <c r="AD16" s="1">
        <v>61.278341249999997</v>
      </c>
      <c r="AE16" s="1">
        <v>24493</v>
      </c>
      <c r="AF16">
        <f t="shared" si="114"/>
        <v>1.1712974032805701</v>
      </c>
      <c r="AG16">
        <f t="shared" si="36"/>
        <v>0.12325444471842149</v>
      </c>
      <c r="AH16">
        <f t="shared" si="116"/>
        <v>8.3393756306199742E-3</v>
      </c>
      <c r="AI16">
        <v>107465</v>
      </c>
      <c r="AJ16">
        <f t="shared" si="37"/>
        <v>140779.15</v>
      </c>
      <c r="AK16">
        <f t="shared" si="4"/>
        <v>0.33828618732488452</v>
      </c>
      <c r="AL16">
        <f t="shared" si="38"/>
        <v>40.567501634999999</v>
      </c>
      <c r="AM16">
        <f t="shared" si="39"/>
        <v>8.338846951152272E-3</v>
      </c>
      <c r="AN16">
        <v>153.84</v>
      </c>
      <c r="AO16">
        <f t="shared" si="40"/>
        <v>153840</v>
      </c>
      <c r="AP16">
        <f t="shared" si="41"/>
        <v>196915.20000000001</v>
      </c>
      <c r="AQ16">
        <f t="shared" si="5"/>
        <v>0.45335918056300611</v>
      </c>
      <c r="AR16">
        <f t="shared" si="42"/>
        <v>51.759606732800002</v>
      </c>
      <c r="AS16">
        <f t="shared" si="43"/>
        <v>8.7589378896055815E-3</v>
      </c>
      <c r="AT16" s="1">
        <v>26575</v>
      </c>
      <c r="AU16" s="1">
        <f t="shared" si="44"/>
        <v>5.5384429420542364E-2</v>
      </c>
      <c r="AV16" s="1">
        <f t="shared" si="45"/>
        <v>2.9939560356712136E-2</v>
      </c>
      <c r="AW16" s="1">
        <v>197222</v>
      </c>
      <c r="AX16" s="1">
        <f t="shared" si="46"/>
        <v>240610.84</v>
      </c>
      <c r="AY16" s="1">
        <f t="shared" si="6"/>
        <v>0.50145227039689222</v>
      </c>
      <c r="AZ16" s="1">
        <f t="shared" si="47"/>
        <v>-1.8728772146158618E-2</v>
      </c>
      <c r="BA16" s="1">
        <f t="shared" si="48"/>
        <v>60.4858519474</v>
      </c>
      <c r="BB16" s="1">
        <v>23572</v>
      </c>
      <c r="BC16" s="1">
        <f t="shared" si="49"/>
        <v>28757.84</v>
      </c>
      <c r="BD16" s="1">
        <f t="shared" si="50"/>
        <v>1.0821388523047977</v>
      </c>
      <c r="BE16" s="1">
        <f t="shared" si="51"/>
        <v>0.11952013467057428</v>
      </c>
      <c r="BF16" s="1">
        <f t="shared" si="52"/>
        <v>8.2904060082177166E-3</v>
      </c>
      <c r="BG16" s="1">
        <v>12136</v>
      </c>
      <c r="BH16" s="1">
        <f t="shared" si="53"/>
        <v>3.1208774253275558E-2</v>
      </c>
      <c r="BI16" s="1">
        <v>505434.09</v>
      </c>
      <c r="BJ16" s="1">
        <f t="shared" si="7"/>
        <v>1.2997675028608902</v>
      </c>
      <c r="BK16" s="1">
        <v>101.2013381</v>
      </c>
      <c r="BL16" s="1">
        <v>22184.646000000001</v>
      </c>
      <c r="BM16">
        <f t="shared" si="8"/>
        <v>1.8280031311799605</v>
      </c>
      <c r="BN16">
        <f t="shared" si="9"/>
        <v>4.3892262985268764E-2</v>
      </c>
      <c r="BO16">
        <f t="shared" si="54"/>
        <v>1.2843382580342485E-2</v>
      </c>
      <c r="BP16">
        <v>221618</v>
      </c>
      <c r="BQ16">
        <f t="shared" si="55"/>
        <v>290319.58</v>
      </c>
      <c r="BR16">
        <f t="shared" si="10"/>
        <v>0.6976253502309242</v>
      </c>
      <c r="BS16">
        <f t="shared" si="56"/>
        <v>59.525235619600004</v>
      </c>
      <c r="BT16">
        <f t="shared" si="57"/>
        <v>1.1719825095513198E-2</v>
      </c>
      <c r="BU16">
        <v>348.71</v>
      </c>
      <c r="BV16">
        <f t="shared" si="11"/>
        <v>348710</v>
      </c>
      <c r="BW16">
        <f t="shared" si="58"/>
        <v>446348.79999999999</v>
      </c>
      <c r="BX16">
        <f t="shared" si="12"/>
        <v>1.0276318243247911</v>
      </c>
      <c r="BY16">
        <f t="shared" si="59"/>
        <v>76.247206297600002</v>
      </c>
      <c r="BZ16">
        <f t="shared" si="60"/>
        <v>1.3477632482872193E-2</v>
      </c>
      <c r="CA16" s="1">
        <v>12749</v>
      </c>
      <c r="CB16" s="1">
        <f t="shared" si="61"/>
        <v>2.6569937560959343E-2</v>
      </c>
      <c r="CC16" s="1">
        <f t="shared" si="62"/>
        <v>-0.14863886209274432</v>
      </c>
      <c r="CD16" s="1">
        <v>476782</v>
      </c>
      <c r="CE16" s="1">
        <f t="shared" si="63"/>
        <v>581674.04</v>
      </c>
      <c r="CF16">
        <f t="shared" si="13"/>
        <v>1.2122553081520879</v>
      </c>
      <c r="CG16">
        <f t="shared" si="64"/>
        <v>-6.7329114257881531E-2</v>
      </c>
      <c r="CH16">
        <f t="shared" si="65"/>
        <v>90.917938902799989</v>
      </c>
      <c r="CI16" s="1">
        <v>22530</v>
      </c>
      <c r="CJ16" s="1">
        <f t="shared" si="66"/>
        <v>27486.6</v>
      </c>
      <c r="CK16">
        <f t="shared" si="67"/>
        <v>2.1559808612440192</v>
      </c>
      <c r="CL16">
        <f t="shared" si="68"/>
        <v>4.7254300707660936E-2</v>
      </c>
      <c r="CM16">
        <f t="shared" si="69"/>
        <v>1.3333510666669482E-2</v>
      </c>
      <c r="CN16" s="1">
        <v>25998</v>
      </c>
      <c r="CO16" s="1">
        <f t="shared" si="70"/>
        <v>6.6856106875136614E-2</v>
      </c>
      <c r="CP16" s="1">
        <v>218515923</v>
      </c>
      <c r="CQ16" s="1">
        <f t="shared" si="14"/>
        <v>561.93260643153792</v>
      </c>
      <c r="CR16" s="1">
        <v>108123.0123</v>
      </c>
      <c r="CS16" s="1">
        <v>25786611</v>
      </c>
      <c r="CT16">
        <f t="shared" si="71"/>
        <v>991.86902838679896</v>
      </c>
      <c r="CU16">
        <f t="shared" si="72"/>
        <v>0.11800792658940465</v>
      </c>
      <c r="CV16">
        <f t="shared" si="73"/>
        <v>5.1971601093797675E-3</v>
      </c>
      <c r="CW16" s="1">
        <v>26164</v>
      </c>
      <c r="CX16" s="1">
        <f t="shared" si="74"/>
        <v>5.4527872487641404E-2</v>
      </c>
      <c r="CY16" s="1">
        <f t="shared" si="75"/>
        <v>-0.18439952554401587</v>
      </c>
      <c r="CZ16" s="1">
        <v>193830994</v>
      </c>
      <c r="DA16" s="1">
        <f t="shared" si="15"/>
        <v>236473812.68000001</v>
      </c>
      <c r="DB16" s="1">
        <f t="shared" si="16"/>
        <v>492.83037396733829</v>
      </c>
      <c r="DC16" s="1">
        <f t="shared" si="76"/>
        <v>-0.12297245554590999</v>
      </c>
      <c r="DD16" s="1">
        <f t="shared" si="77"/>
        <v>93954.54819500001</v>
      </c>
      <c r="DE16" s="1">
        <v>23292435</v>
      </c>
      <c r="DF16" s="1">
        <f t="shared" si="78"/>
        <v>28416770.699999999</v>
      </c>
      <c r="DG16">
        <f t="shared" si="79"/>
        <v>1086.101922488916</v>
      </c>
      <c r="DH16">
        <f t="shared" si="80"/>
        <v>0.12016878477133537</v>
      </c>
      <c r="DI16">
        <f t="shared" si="81"/>
        <v>5.2454126323345489E-3</v>
      </c>
      <c r="DJ16" s="1">
        <v>1561987</v>
      </c>
      <c r="DK16">
        <f t="shared" si="17"/>
        <v>4.0167847453486427</v>
      </c>
      <c r="DL16">
        <v>1889.3069949999999</v>
      </c>
      <c r="DM16" s="1">
        <v>355608</v>
      </c>
      <c r="DN16" s="3">
        <f t="shared" si="82"/>
        <v>2.126062495919909E-3</v>
      </c>
      <c r="DO16" s="1">
        <v>1839050</v>
      </c>
      <c r="DP16" s="1">
        <f t="shared" si="83"/>
        <v>2243641</v>
      </c>
      <c r="DQ16" s="3">
        <f t="shared" si="18"/>
        <v>4.6759276240652898</v>
      </c>
      <c r="DR16" s="3">
        <f t="shared" si="84"/>
        <v>1905.8896083399998</v>
      </c>
      <c r="DS16" s="3">
        <f t="shared" si="85"/>
        <v>391945.14127309533</v>
      </c>
      <c r="DT16" s="3">
        <f t="shared" si="86"/>
        <v>2.4534094753462399E-3</v>
      </c>
      <c r="DU16" s="3">
        <f t="shared" si="87"/>
        <v>1.1021831378177525</v>
      </c>
      <c r="DV16" s="3">
        <f t="shared" si="88"/>
        <v>347.3680618539542</v>
      </c>
      <c r="DW16" s="3">
        <f t="shared" si="89"/>
        <v>9.5349642407110913E-2</v>
      </c>
      <c r="DX16" s="3">
        <f t="shared" si="90"/>
        <v>220782063.09</v>
      </c>
      <c r="DY16" s="3">
        <f t="shared" si="91"/>
        <v>567.76018178545257</v>
      </c>
      <c r="DZ16" s="3">
        <f t="shared" si="92"/>
        <v>220077910</v>
      </c>
      <c r="EA16" s="3">
        <f t="shared" si="93"/>
        <v>431098.73</v>
      </c>
      <c r="EB16" s="3">
        <f t="shared" si="94"/>
        <v>1.0359115375558086</v>
      </c>
      <c r="EC16" s="3">
        <f t="shared" si="95"/>
        <v>643264</v>
      </c>
      <c r="ED16" s="3">
        <f t="shared" si="96"/>
        <v>1.480991004887797</v>
      </c>
      <c r="EE16" s="9">
        <f t="shared" si="97"/>
        <v>239539738.56</v>
      </c>
      <c r="EF16" s="13">
        <f t="shared" si="98"/>
        <v>499.22000916995256</v>
      </c>
      <c r="EG16" s="14">
        <f t="shared" si="99"/>
        <v>-0.12072028792149471</v>
      </c>
      <c r="EH16" s="9">
        <f t="shared" si="100"/>
        <v>238717453.68000001</v>
      </c>
      <c r="EI16" s="10">
        <v>683403</v>
      </c>
      <c r="EJ16" s="10">
        <f t="shared" si="19"/>
        <v>895257.93</v>
      </c>
      <c r="EK16" s="10">
        <f t="shared" si="101"/>
        <v>2.1512659496244182</v>
      </c>
      <c r="EL16" s="10">
        <v>769000</v>
      </c>
      <c r="EM16" s="10">
        <f t="shared" si="20"/>
        <v>984320</v>
      </c>
      <c r="EN16" s="10">
        <f t="shared" si="102"/>
        <v>2.2662065123046782</v>
      </c>
      <c r="EO16" s="11">
        <v>4991755</v>
      </c>
      <c r="EP16" s="11">
        <f t="shared" si="21"/>
        <v>6089941.0999999996</v>
      </c>
      <c r="EQ16" s="11">
        <f t="shared" si="103"/>
        <v>12.691925231541301</v>
      </c>
      <c r="ER16" s="10">
        <f t="shared" si="104"/>
        <v>17.109397693470399</v>
      </c>
      <c r="ES16" s="10">
        <f t="shared" si="115"/>
        <v>6.1869525154421323</v>
      </c>
      <c r="ET16" s="10">
        <v>560698</v>
      </c>
      <c r="EU16" s="12">
        <f t="shared" si="22"/>
        <v>734514.38</v>
      </c>
      <c r="EV16" s="12">
        <f t="shared" si="105"/>
        <v>1.7650061755984563</v>
      </c>
      <c r="EW16" s="1">
        <v>104000</v>
      </c>
      <c r="EX16" s="10">
        <f t="shared" si="23"/>
        <v>133120</v>
      </c>
      <c r="EY16" s="10">
        <f t="shared" si="106"/>
        <v>0.30648306538320741</v>
      </c>
      <c r="EZ16" s="3">
        <f t="shared" si="107"/>
        <v>643443.06160598178</v>
      </c>
      <c r="FA16" s="3">
        <f t="shared" si="108"/>
        <v>1.3409868986511453</v>
      </c>
      <c r="FB16" s="3">
        <f t="shared" si="109"/>
        <v>3.4124761396328092</v>
      </c>
      <c r="FC16" s="1">
        <f t="shared" si="110"/>
        <v>3.8588845000000003</v>
      </c>
      <c r="FD16">
        <v>3.8665845000000001</v>
      </c>
      <c r="FE16">
        <v>5.4855632999999999</v>
      </c>
      <c r="FF16" s="7">
        <f t="shared" si="111"/>
        <v>9.5330103000000008</v>
      </c>
      <c r="FG16" s="1">
        <f t="shared" si="112"/>
        <v>0.80948939999999991</v>
      </c>
      <c r="FH16">
        <v>2.63E-2</v>
      </c>
      <c r="FI16">
        <v>3.4000000000000002E-2</v>
      </c>
      <c r="FJ16">
        <v>4.41E-2</v>
      </c>
      <c r="FK16">
        <v>4.0899999999999999E-2</v>
      </c>
      <c r="FL16" s="1">
        <f t="shared" si="113"/>
        <v>2.5666666666666672E-3</v>
      </c>
    </row>
    <row r="17" spans="1:168">
      <c r="A17" t="s">
        <v>119</v>
      </c>
      <c r="B17" s="1" t="s">
        <v>59</v>
      </c>
      <c r="C17" s="1">
        <v>172837</v>
      </c>
      <c r="D17" s="6">
        <f t="shared" ref="D17:D47" si="117">C17+G17*3</f>
        <v>179736.4</v>
      </c>
      <c r="E17" s="6">
        <f t="shared" ref="E17:E47" si="118">C17+G17*5</f>
        <v>184336</v>
      </c>
      <c r="F17" s="1">
        <v>195835</v>
      </c>
      <c r="G17" s="1">
        <f t="shared" si="2"/>
        <v>2299.8000000000002</v>
      </c>
      <c r="H17" s="1">
        <v>1.31</v>
      </c>
      <c r="I17" s="1">
        <v>1.28</v>
      </c>
      <c r="J17" s="1">
        <v>1.22</v>
      </c>
      <c r="K17">
        <v>73707</v>
      </c>
      <c r="L17">
        <f t="shared" si="24"/>
        <v>0.42645382643762619</v>
      </c>
      <c r="M17" s="1">
        <v>70003</v>
      </c>
      <c r="N17">
        <f t="shared" si="25"/>
        <v>0.35745908545459187</v>
      </c>
      <c r="O17">
        <f t="shared" si="26"/>
        <v>-0.16178713076484869</v>
      </c>
      <c r="P17">
        <f t="shared" si="27"/>
        <v>0.12280132054604609</v>
      </c>
      <c r="Q17">
        <f t="shared" si="28"/>
        <v>0.10778294822476905</v>
      </c>
      <c r="R17">
        <f t="shared" si="29"/>
        <v>524.70197701622862</v>
      </c>
      <c r="S17">
        <f t="shared" si="30"/>
        <v>454.71261566141197</v>
      </c>
      <c r="T17">
        <f t="shared" si="31"/>
        <v>602.49444228955599</v>
      </c>
      <c r="U17">
        <v>92297.113769999996</v>
      </c>
      <c r="V17">
        <f t="shared" si="32"/>
        <v>6.5277712127699179E-3</v>
      </c>
      <c r="W17">
        <f t="shared" si="33"/>
        <v>476.19494646003011</v>
      </c>
      <c r="X17">
        <v>79429.064259999999</v>
      </c>
      <c r="Y17">
        <f t="shared" si="34"/>
        <v>5.9952229186695707E-3</v>
      </c>
      <c r="Z17" s="1">
        <v>9118</v>
      </c>
      <c r="AA17" s="1">
        <f t="shared" si="35"/>
        <v>5.2754907803306002E-2</v>
      </c>
      <c r="AB17" s="1">
        <v>95355</v>
      </c>
      <c r="AC17" s="1">
        <f t="shared" si="3"/>
        <v>0.55170478543367452</v>
      </c>
      <c r="AD17" s="1">
        <v>61.278341249999997</v>
      </c>
      <c r="AE17" s="1">
        <v>12073</v>
      </c>
      <c r="AF17">
        <f t="shared" si="114"/>
        <v>1.3240842289975872</v>
      </c>
      <c r="AG17">
        <f t="shared" si="36"/>
        <v>0.12661108489329348</v>
      </c>
      <c r="AH17">
        <f t="shared" si="116"/>
        <v>9.0032591316866716E-3</v>
      </c>
      <c r="AI17">
        <v>57595</v>
      </c>
      <c r="AJ17">
        <f t="shared" si="37"/>
        <v>75449.45</v>
      </c>
      <c r="AK17">
        <f t="shared" si="4"/>
        <v>0.41977835318833578</v>
      </c>
      <c r="AL17">
        <f t="shared" si="38"/>
        <v>40.567501634999999</v>
      </c>
      <c r="AM17">
        <f t="shared" si="39"/>
        <v>1.0347651106672243E-2</v>
      </c>
      <c r="AN17">
        <v>72.34</v>
      </c>
      <c r="AO17">
        <f t="shared" si="40"/>
        <v>72340</v>
      </c>
      <c r="AP17">
        <f t="shared" si="41"/>
        <v>92595.199999999997</v>
      </c>
      <c r="AQ17">
        <f t="shared" si="5"/>
        <v>0.50231750716083667</v>
      </c>
      <c r="AR17">
        <f t="shared" si="42"/>
        <v>51.759606732800002</v>
      </c>
      <c r="AS17">
        <f t="shared" si="43"/>
        <v>9.7048169193781498E-3</v>
      </c>
      <c r="AT17" s="1">
        <v>11181</v>
      </c>
      <c r="AU17" s="1">
        <f t="shared" si="44"/>
        <v>5.7093982178875076E-2</v>
      </c>
      <c r="AV17" s="1">
        <f t="shared" si="45"/>
        <v>8.2249681712023709E-2</v>
      </c>
      <c r="AW17" s="1">
        <v>86898</v>
      </c>
      <c r="AX17" s="1">
        <f t="shared" si="46"/>
        <v>106015.56</v>
      </c>
      <c r="AY17" s="1">
        <f t="shared" si="6"/>
        <v>0.54135144381749944</v>
      </c>
      <c r="AZ17" s="1">
        <f t="shared" si="47"/>
        <v>-1.8766089926221495E-2</v>
      </c>
      <c r="BA17" s="1">
        <f t="shared" si="48"/>
        <v>60.4858519474</v>
      </c>
      <c r="BB17" s="1">
        <v>11422</v>
      </c>
      <c r="BC17" s="1">
        <f t="shared" si="49"/>
        <v>13934.84</v>
      </c>
      <c r="BD17" s="1">
        <f t="shared" si="50"/>
        <v>1.2462963956712281</v>
      </c>
      <c r="BE17" s="1">
        <f t="shared" si="51"/>
        <v>0.13144146010264909</v>
      </c>
      <c r="BF17" s="1">
        <f t="shared" si="52"/>
        <v>8.9500507372909637E-3</v>
      </c>
      <c r="BG17" s="1">
        <v>5504</v>
      </c>
      <c r="BH17" s="1">
        <f t="shared" si="53"/>
        <v>3.1845033181552559E-2</v>
      </c>
      <c r="BI17" s="1">
        <v>158473.92199999999</v>
      </c>
      <c r="BJ17" s="1">
        <f t="shared" si="7"/>
        <v>0.91689812945144844</v>
      </c>
      <c r="BK17" s="1">
        <v>101.2013381</v>
      </c>
      <c r="BL17" s="1">
        <v>9331.598</v>
      </c>
      <c r="BM17">
        <f t="shared" si="8"/>
        <v>1.6954211482558139</v>
      </c>
      <c r="BN17">
        <f t="shared" si="9"/>
        <v>5.8884123534217826E-2</v>
      </c>
      <c r="BO17">
        <f t="shared" si="54"/>
        <v>9.060138400002523E-3</v>
      </c>
      <c r="BP17">
        <v>76141</v>
      </c>
      <c r="BQ17">
        <f t="shared" si="55"/>
        <v>99744.71</v>
      </c>
      <c r="BR17">
        <f t="shared" si="10"/>
        <v>0.55494997118001699</v>
      </c>
      <c r="BS17">
        <f t="shared" si="56"/>
        <v>59.525235619600004</v>
      </c>
      <c r="BT17">
        <f t="shared" si="57"/>
        <v>9.322936153104238E-3</v>
      </c>
      <c r="BU17">
        <v>108.27</v>
      </c>
      <c r="BV17">
        <f t="shared" si="11"/>
        <v>108270</v>
      </c>
      <c r="BW17">
        <f t="shared" si="58"/>
        <v>138585.60000000001</v>
      </c>
      <c r="BX17">
        <f t="shared" si="12"/>
        <v>0.75180973873795676</v>
      </c>
      <c r="BY17">
        <f t="shared" si="59"/>
        <v>76.247206297600002</v>
      </c>
      <c r="BZ17">
        <f t="shared" si="60"/>
        <v>9.8601611159833558E-3</v>
      </c>
      <c r="CA17" s="1">
        <v>5054</v>
      </c>
      <c r="CB17" s="1">
        <f t="shared" si="61"/>
        <v>2.580743993668139E-2</v>
      </c>
      <c r="CC17" s="1">
        <f t="shared" si="62"/>
        <v>-0.18959293307845174</v>
      </c>
      <c r="CD17" s="1">
        <v>144582</v>
      </c>
      <c r="CE17" s="1">
        <f t="shared" si="63"/>
        <v>176390.04</v>
      </c>
      <c r="CF17">
        <f t="shared" si="13"/>
        <v>0.9007074322771722</v>
      </c>
      <c r="CG17">
        <f t="shared" si="64"/>
        <v>-1.765811997453046E-2</v>
      </c>
      <c r="CH17">
        <f t="shared" si="65"/>
        <v>90.917938902799989</v>
      </c>
      <c r="CI17" s="1">
        <v>8407</v>
      </c>
      <c r="CJ17" s="1">
        <f t="shared" si="66"/>
        <v>10256.539999999999</v>
      </c>
      <c r="CK17">
        <f t="shared" si="67"/>
        <v>2.0293905817174513</v>
      </c>
      <c r="CL17">
        <f t="shared" si="68"/>
        <v>5.81469339198517E-2</v>
      </c>
      <c r="CM17">
        <f t="shared" si="69"/>
        <v>9.9068175449964282E-3</v>
      </c>
      <c r="CN17" s="1">
        <v>9656</v>
      </c>
      <c r="CO17" s="1">
        <f t="shared" si="70"/>
        <v>5.5867667224031893E-2</v>
      </c>
      <c r="CP17" s="1">
        <v>103879503</v>
      </c>
      <c r="CQ17" s="1">
        <f t="shared" si="14"/>
        <v>601.02583937467091</v>
      </c>
      <c r="CR17" s="1">
        <v>108123.0123</v>
      </c>
      <c r="CS17" s="1">
        <v>12717310</v>
      </c>
      <c r="CT17">
        <f t="shared" si="71"/>
        <v>1317.0370753935376</v>
      </c>
      <c r="CU17">
        <f t="shared" si="72"/>
        <v>0.12242367004778604</v>
      </c>
      <c r="CV17">
        <f t="shared" si="73"/>
        <v>5.5587226677245557E-3</v>
      </c>
      <c r="CW17" s="1">
        <v>7109</v>
      </c>
      <c r="CX17" s="1">
        <f t="shared" si="74"/>
        <v>3.6300967651339139E-2</v>
      </c>
      <c r="CY17" s="1">
        <f t="shared" si="75"/>
        <v>-0.35023297991357677</v>
      </c>
      <c r="CZ17" s="1">
        <v>76207567</v>
      </c>
      <c r="DA17" s="1">
        <f t="shared" si="15"/>
        <v>92973231.739999995</v>
      </c>
      <c r="DB17" s="1">
        <f t="shared" si="16"/>
        <v>474.75288758393543</v>
      </c>
      <c r="DC17" s="1">
        <f t="shared" si="76"/>
        <v>-0.21009571222780443</v>
      </c>
      <c r="DD17" s="1">
        <f t="shared" si="77"/>
        <v>93954.54819500001</v>
      </c>
      <c r="DE17" s="1">
        <v>8680836</v>
      </c>
      <c r="DF17" s="1">
        <f t="shared" si="78"/>
        <v>10590619.92</v>
      </c>
      <c r="DG17">
        <f t="shared" si="79"/>
        <v>1489.7481952454634</v>
      </c>
      <c r="DH17">
        <f t="shared" si="80"/>
        <v>0.11391042047045014</v>
      </c>
      <c r="DI17">
        <f t="shared" si="81"/>
        <v>5.053005913014442E-3</v>
      </c>
      <c r="DJ17" s="1">
        <v>5845702</v>
      </c>
      <c r="DK17">
        <f t="shared" si="17"/>
        <v>33.822051991182441</v>
      </c>
      <c r="DL17">
        <v>1889.3069949999999</v>
      </c>
      <c r="DM17" s="1">
        <v>766856</v>
      </c>
      <c r="DN17" s="3">
        <f t="shared" si="82"/>
        <v>1.790182965536654E-2</v>
      </c>
      <c r="DO17" s="1">
        <v>4284900</v>
      </c>
      <c r="DP17" s="1">
        <f t="shared" si="83"/>
        <v>5227578</v>
      </c>
      <c r="DQ17" s="3">
        <f t="shared" si="18"/>
        <v>26.693788137973293</v>
      </c>
      <c r="DR17" s="3">
        <f t="shared" si="84"/>
        <v>1905.8896083399998</v>
      </c>
      <c r="DS17" s="3">
        <f t="shared" si="85"/>
        <v>638999.4588269369</v>
      </c>
      <c r="DT17" s="3">
        <f t="shared" si="86"/>
        <v>1.4005946630467841E-2</v>
      </c>
      <c r="DU17" s="3">
        <f t="shared" si="87"/>
        <v>0.83327177309291045</v>
      </c>
      <c r="DV17" s="3">
        <f t="shared" si="88"/>
        <v>468.84674383227389</v>
      </c>
      <c r="DW17" s="3">
        <f t="shared" si="89"/>
        <v>0.10190294882804136</v>
      </c>
      <c r="DX17" s="3">
        <f t="shared" si="90"/>
        <v>109979033.92200001</v>
      </c>
      <c r="DY17" s="3">
        <f t="shared" si="91"/>
        <v>636.31649428073854</v>
      </c>
      <c r="DZ17" s="3">
        <f t="shared" si="92"/>
        <v>109725205</v>
      </c>
      <c r="EA17" s="3">
        <f t="shared" si="93"/>
        <v>175194.16</v>
      </c>
      <c r="EB17" s="3">
        <f t="shared" si="94"/>
        <v>0.97472832436835277</v>
      </c>
      <c r="EC17" s="3">
        <f t="shared" si="95"/>
        <v>231180.79999999999</v>
      </c>
      <c r="ED17" s="3">
        <f t="shared" si="96"/>
        <v>1.2541272458987935</v>
      </c>
      <c r="EE17" s="9">
        <f t="shared" si="97"/>
        <v>98483215.339999989</v>
      </c>
      <c r="EF17" s="13">
        <f t="shared" si="98"/>
        <v>502.88873459800334</v>
      </c>
      <c r="EG17" s="14">
        <f t="shared" si="99"/>
        <v>-0.20968772754123796</v>
      </c>
      <c r="EH17" s="9">
        <f t="shared" si="100"/>
        <v>98200809.739999995</v>
      </c>
      <c r="EI17" s="10">
        <v>547815</v>
      </c>
      <c r="EJ17" s="10">
        <f t="shared" si="19"/>
        <v>717637.65</v>
      </c>
      <c r="EK17" s="10">
        <f t="shared" si="101"/>
        <v>3.9927229542819376</v>
      </c>
      <c r="EL17" s="10">
        <v>429000</v>
      </c>
      <c r="EM17" s="10">
        <f t="shared" si="20"/>
        <v>549120</v>
      </c>
      <c r="EN17" s="10">
        <f t="shared" si="102"/>
        <v>2.9789080808957555</v>
      </c>
      <c r="EO17" s="11">
        <v>3712693</v>
      </c>
      <c r="EP17" s="11">
        <f t="shared" si="21"/>
        <v>4529485.46</v>
      </c>
      <c r="EQ17" s="11">
        <f t="shared" si="103"/>
        <v>23.129090611994791</v>
      </c>
      <c r="ER17" s="10">
        <f t="shared" si="104"/>
        <v>30.100721647172485</v>
      </c>
      <c r="ES17" s="10">
        <f t="shared" si="115"/>
        <v>8.2486259105477853</v>
      </c>
      <c r="ET17" s="12">
        <v>292560</v>
      </c>
      <c r="EU17" s="12">
        <f t="shared" si="22"/>
        <v>383253.60000000003</v>
      </c>
      <c r="EV17" s="12">
        <f t="shared" si="105"/>
        <v>2.1323093151971446</v>
      </c>
      <c r="EW17" s="10">
        <v>737000</v>
      </c>
      <c r="EX17" s="10">
        <f t="shared" si="23"/>
        <v>943360</v>
      </c>
      <c r="EY17" s="10">
        <f t="shared" si="106"/>
        <v>5.1176113184619387</v>
      </c>
      <c r="EZ17" s="3">
        <f t="shared" si="107"/>
        <v>6079237.296073718</v>
      </c>
      <c r="FA17" s="3">
        <f t="shared" si="108"/>
        <v>31.042649659528266</v>
      </c>
      <c r="FB17" s="3">
        <f t="shared" si="109"/>
        <v>38.292570293187353</v>
      </c>
      <c r="FC17" s="1">
        <f t="shared" si="110"/>
        <v>4.7123000000000008</v>
      </c>
      <c r="FD17">
        <f>47.2/10</f>
        <v>4.7200000000000006</v>
      </c>
      <c r="FE17">
        <f>5.7</f>
        <v>5.7</v>
      </c>
      <c r="FF17" s="7">
        <f t="shared" si="111"/>
        <v>8.1499999999999986</v>
      </c>
      <c r="FG17" s="1">
        <f t="shared" si="112"/>
        <v>0.48999999999999977</v>
      </c>
      <c r="FH17">
        <v>2.63E-2</v>
      </c>
      <c r="FI17">
        <v>3.4000000000000002E-2</v>
      </c>
      <c r="FJ17">
        <v>4.41E-2</v>
      </c>
      <c r="FK17">
        <v>4.0899999999999999E-2</v>
      </c>
      <c r="FL17" s="1">
        <f t="shared" si="113"/>
        <v>2.5666666666666672E-3</v>
      </c>
    </row>
    <row r="18" spans="1:168">
      <c r="A18" t="s">
        <v>119</v>
      </c>
      <c r="B18" s="1" t="s">
        <v>60</v>
      </c>
      <c r="C18" s="1">
        <v>101669</v>
      </c>
      <c r="D18" s="6">
        <f t="shared" si="117"/>
        <v>102256.4</v>
      </c>
      <c r="E18" s="6">
        <f t="shared" si="118"/>
        <v>102648</v>
      </c>
      <c r="F18" s="1">
        <v>103627</v>
      </c>
      <c r="G18" s="1">
        <f t="shared" si="2"/>
        <v>195.8</v>
      </c>
      <c r="H18" s="1">
        <v>1.31</v>
      </c>
      <c r="I18" s="1">
        <v>1.28</v>
      </c>
      <c r="J18" s="1">
        <v>1.22</v>
      </c>
      <c r="K18">
        <v>40482</v>
      </c>
      <c r="L18">
        <f t="shared" si="24"/>
        <v>0.398174468126961</v>
      </c>
      <c r="M18" s="1">
        <v>36179</v>
      </c>
      <c r="N18">
        <f t="shared" si="25"/>
        <v>0.34912715798006311</v>
      </c>
      <c r="O18">
        <f t="shared" si="26"/>
        <v>-0.12318044996109288</v>
      </c>
      <c r="P18">
        <f t="shared" si="27"/>
        <v>6.5861034059807227E-2</v>
      </c>
      <c r="Q18">
        <f t="shared" si="28"/>
        <v>6.5620152750815938E-2</v>
      </c>
      <c r="R18">
        <f t="shared" si="29"/>
        <v>539.17167943901825</v>
      </c>
      <c r="S18">
        <f t="shared" si="30"/>
        <v>546.62097618117923</v>
      </c>
      <c r="T18">
        <f t="shared" si="31"/>
        <v>1342.3139147331044</v>
      </c>
      <c r="U18">
        <v>92297.113769999996</v>
      </c>
      <c r="V18">
        <f t="shared" si="32"/>
        <v>1.4543400762000929E-2</v>
      </c>
      <c r="W18">
        <f t="shared" si="33"/>
        <v>956.85163808659888</v>
      </c>
      <c r="X18">
        <v>79429.064259999999</v>
      </c>
      <c r="Y18">
        <f t="shared" si="34"/>
        <v>1.204661853946155E-2</v>
      </c>
      <c r="Z18" s="1">
        <v>5134</v>
      </c>
      <c r="AA18" s="1">
        <f t="shared" si="35"/>
        <v>5.049720170356746E-2</v>
      </c>
      <c r="AB18" s="1">
        <v>58186</v>
      </c>
      <c r="AC18" s="1">
        <f t="shared" si="3"/>
        <v>0.57230817653365329</v>
      </c>
      <c r="AD18" s="1">
        <v>61.278341249999997</v>
      </c>
      <c r="AE18" s="1">
        <v>6544</v>
      </c>
      <c r="AF18">
        <f t="shared" si="114"/>
        <v>1.2746396571873784</v>
      </c>
      <c r="AG18">
        <f t="shared" si="36"/>
        <v>0.11246691644038084</v>
      </c>
      <c r="AH18">
        <f t="shared" si="116"/>
        <v>9.3394854504755924E-3</v>
      </c>
      <c r="AI18">
        <v>29402</v>
      </c>
      <c r="AJ18">
        <f t="shared" si="37"/>
        <v>38516.620000000003</v>
      </c>
      <c r="AK18">
        <f t="shared" si="4"/>
        <v>0.37666708391846382</v>
      </c>
      <c r="AL18">
        <f t="shared" si="38"/>
        <v>40.567501634999999</v>
      </c>
      <c r="AM18">
        <f t="shared" si="39"/>
        <v>9.2849465394115056E-3</v>
      </c>
      <c r="AN18">
        <v>31.86</v>
      </c>
      <c r="AO18">
        <f t="shared" si="40"/>
        <v>31860</v>
      </c>
      <c r="AP18">
        <f t="shared" si="41"/>
        <v>40780.800000000003</v>
      </c>
      <c r="AQ18">
        <f t="shared" si="5"/>
        <v>0.39728781856441436</v>
      </c>
      <c r="AR18">
        <f t="shared" si="42"/>
        <v>51.759606732800002</v>
      </c>
      <c r="AS18">
        <f t="shared" si="43"/>
        <v>7.6756344115082612E-3</v>
      </c>
      <c r="AT18" s="1">
        <v>5445</v>
      </c>
      <c r="AU18" s="1">
        <f t="shared" si="44"/>
        <v>5.2544221100678391E-2</v>
      </c>
      <c r="AV18" s="1">
        <f t="shared" si="45"/>
        <v>4.053728381084365E-2</v>
      </c>
      <c r="AW18" s="1">
        <v>43174</v>
      </c>
      <c r="AX18" s="1">
        <f t="shared" si="46"/>
        <v>52672.28</v>
      </c>
      <c r="AY18" s="1">
        <f t="shared" si="6"/>
        <v>0.50828722244202762</v>
      </c>
      <c r="AZ18" s="1">
        <f t="shared" si="47"/>
        <v>-0.11186447567355533</v>
      </c>
      <c r="BA18" s="1">
        <f t="shared" si="48"/>
        <v>60.4858519474</v>
      </c>
      <c r="BB18" s="1">
        <v>5004</v>
      </c>
      <c r="BC18" s="1">
        <f t="shared" si="49"/>
        <v>6104.88</v>
      </c>
      <c r="BD18" s="1">
        <f t="shared" si="50"/>
        <v>1.1211900826446282</v>
      </c>
      <c r="BE18" s="1">
        <f t="shared" si="51"/>
        <v>0.11590308982257841</v>
      </c>
      <c r="BF18" s="1">
        <f t="shared" si="52"/>
        <v>8.4034068476715323E-3</v>
      </c>
      <c r="BG18" s="1">
        <v>4602</v>
      </c>
      <c r="BH18" s="1">
        <f t="shared" si="53"/>
        <v>4.5264534912313491E-2</v>
      </c>
      <c r="BI18" s="1">
        <v>287876.397</v>
      </c>
      <c r="BJ18" s="1">
        <f t="shared" si="7"/>
        <v>2.8315061326461359</v>
      </c>
      <c r="BK18" s="1">
        <v>101.2013381</v>
      </c>
      <c r="BL18" s="1">
        <v>7942.0640000000003</v>
      </c>
      <c r="BM18">
        <f t="shared" si="8"/>
        <v>1.7257853107344634</v>
      </c>
      <c r="BN18">
        <f t="shared" si="9"/>
        <v>2.7588451442234773E-2</v>
      </c>
      <c r="BO18">
        <f t="shared" si="54"/>
        <v>2.7978939664298135E-2</v>
      </c>
      <c r="BP18">
        <v>107314</v>
      </c>
      <c r="BQ18">
        <f t="shared" si="55"/>
        <v>140581.34</v>
      </c>
      <c r="BR18">
        <f t="shared" si="10"/>
        <v>1.3747925802199179</v>
      </c>
      <c r="BS18">
        <f t="shared" si="56"/>
        <v>59.525235619600004</v>
      </c>
      <c r="BT18">
        <f t="shared" si="57"/>
        <v>2.3095962005184184E-2</v>
      </c>
      <c r="BU18">
        <v>113.3</v>
      </c>
      <c r="BV18">
        <f t="shared" si="11"/>
        <v>113300</v>
      </c>
      <c r="BW18">
        <f t="shared" si="58"/>
        <v>145024</v>
      </c>
      <c r="BX18">
        <f t="shared" si="12"/>
        <v>1.4128283064453278</v>
      </c>
      <c r="BY18">
        <f t="shared" si="59"/>
        <v>76.247206297600002</v>
      </c>
      <c r="BZ18">
        <f t="shared" si="60"/>
        <v>1.8529574722133769E-2</v>
      </c>
      <c r="CA18" s="1">
        <v>2827</v>
      </c>
      <c r="CB18" s="1">
        <f t="shared" si="61"/>
        <v>2.7280534995705753E-2</v>
      </c>
      <c r="CC18" s="1">
        <f t="shared" si="62"/>
        <v>-0.39730884126935939</v>
      </c>
      <c r="CD18" s="1">
        <v>152093</v>
      </c>
      <c r="CE18" s="1">
        <f t="shared" si="63"/>
        <v>185553.46</v>
      </c>
      <c r="CF18">
        <f t="shared" si="13"/>
        <v>1.7905899041755526</v>
      </c>
      <c r="CG18">
        <f t="shared" si="64"/>
        <v>-0.36761927388015675</v>
      </c>
      <c r="CH18">
        <f t="shared" si="65"/>
        <v>90.917938902799989</v>
      </c>
      <c r="CI18" s="1">
        <v>4322</v>
      </c>
      <c r="CJ18" s="1">
        <f t="shared" si="66"/>
        <v>5272.84</v>
      </c>
      <c r="CK18">
        <f t="shared" si="67"/>
        <v>1.8651715599575522</v>
      </c>
      <c r="CL18">
        <f t="shared" si="68"/>
        <v>2.8416823916945555E-2</v>
      </c>
      <c r="CM18">
        <f t="shared" si="69"/>
        <v>1.9694572113979236E-2</v>
      </c>
      <c r="CN18" s="1">
        <v>6236</v>
      </c>
      <c r="CO18" s="1">
        <f t="shared" si="70"/>
        <v>6.1336297199736399E-2</v>
      </c>
      <c r="CP18" s="1">
        <v>136125651</v>
      </c>
      <c r="CQ18" s="1">
        <f t="shared" si="14"/>
        <v>1338.9101004239246</v>
      </c>
      <c r="CR18" s="1">
        <v>108123.0123</v>
      </c>
      <c r="CS18" s="1">
        <v>8597164</v>
      </c>
      <c r="CT18">
        <f t="shared" si="71"/>
        <v>1378.6343810134701</v>
      </c>
      <c r="CU18">
        <f t="shared" si="72"/>
        <v>6.3156090985379387E-2</v>
      </c>
      <c r="CV18">
        <f t="shared" si="73"/>
        <v>1.2383211232674144E-2</v>
      </c>
      <c r="CW18" s="1">
        <v>4533</v>
      </c>
      <c r="CX18" s="1">
        <f t="shared" si="74"/>
        <v>4.3743425941115729E-2</v>
      </c>
      <c r="CY18" s="1">
        <f t="shared" si="75"/>
        <v>-0.28682643168580901</v>
      </c>
      <c r="CZ18" s="1">
        <v>81079868</v>
      </c>
      <c r="DA18" s="1">
        <f t="shared" si="15"/>
        <v>98917438.959999993</v>
      </c>
      <c r="DB18" s="1">
        <f t="shared" si="16"/>
        <v>954.55276095998136</v>
      </c>
      <c r="DC18" s="1">
        <f t="shared" si="76"/>
        <v>-0.28706732389444845</v>
      </c>
      <c r="DD18" s="1">
        <f t="shared" si="77"/>
        <v>93954.54819500001</v>
      </c>
      <c r="DE18" s="1">
        <v>5727954</v>
      </c>
      <c r="DF18" s="1">
        <f t="shared" si="78"/>
        <v>6988103.8799999999</v>
      </c>
      <c r="DG18">
        <f t="shared" si="79"/>
        <v>1541.606856386499</v>
      </c>
      <c r="DH18">
        <f t="shared" si="80"/>
        <v>7.0645822955705845E-2</v>
      </c>
      <c r="DI18">
        <f t="shared" si="81"/>
        <v>1.0159729138166191E-2</v>
      </c>
      <c r="DJ18" s="1">
        <v>7661433</v>
      </c>
      <c r="DK18">
        <f t="shared" si="17"/>
        <v>75.356627880671596</v>
      </c>
      <c r="DL18">
        <v>1889.3069949999999</v>
      </c>
      <c r="DM18" s="1">
        <v>881108</v>
      </c>
      <c r="DN18" s="3">
        <f t="shared" si="82"/>
        <v>3.9885856602500748E-2</v>
      </c>
      <c r="DO18" s="1">
        <v>6156542</v>
      </c>
      <c r="DP18" s="1">
        <f t="shared" si="83"/>
        <v>7510981.2400000002</v>
      </c>
      <c r="DQ18" s="3">
        <f t="shared" si="18"/>
        <v>72.480929101488996</v>
      </c>
      <c r="DR18" s="3">
        <f t="shared" si="84"/>
        <v>1905.8896083399998</v>
      </c>
      <c r="DS18" s="3">
        <f t="shared" si="85"/>
        <v>716157.66871374357</v>
      </c>
      <c r="DT18" s="3">
        <f t="shared" si="86"/>
        <v>3.8029972346939209E-2</v>
      </c>
      <c r="DU18" s="3">
        <f t="shared" si="87"/>
        <v>0.81279215341790512</v>
      </c>
      <c r="DV18" s="3">
        <f t="shared" si="88"/>
        <v>487.70467066841553</v>
      </c>
      <c r="DW18" s="3">
        <f t="shared" si="89"/>
        <v>6.9696199260537481E-2</v>
      </c>
      <c r="DX18" s="3">
        <f t="shared" si="90"/>
        <v>144133146.39700001</v>
      </c>
      <c r="DY18" s="3">
        <f t="shared" si="91"/>
        <v>1417.6705426137762</v>
      </c>
      <c r="DZ18" s="3">
        <f t="shared" si="92"/>
        <v>143787084</v>
      </c>
      <c r="EA18" s="3">
        <f t="shared" si="93"/>
        <v>179097.96</v>
      </c>
      <c r="EB18" s="3">
        <f t="shared" si="94"/>
        <v>1.7514596641383815</v>
      </c>
      <c r="EC18" s="3">
        <f t="shared" si="95"/>
        <v>185804.79999999999</v>
      </c>
      <c r="ED18" s="3">
        <f t="shared" si="96"/>
        <v>1.8101161250097419</v>
      </c>
      <c r="EE18" s="9">
        <f t="shared" si="97"/>
        <v>106666645.93999998</v>
      </c>
      <c r="EF18" s="13">
        <f t="shared" si="98"/>
        <v>1029.332567188088</v>
      </c>
      <c r="EG18" s="14">
        <f t="shared" si="99"/>
        <v>-0.27392681427216853</v>
      </c>
      <c r="EH18" s="9">
        <f t="shared" si="100"/>
        <v>106428420.19999999</v>
      </c>
      <c r="EI18" s="10">
        <v>262350</v>
      </c>
      <c r="EJ18" s="10">
        <f t="shared" si="19"/>
        <v>343678.5</v>
      </c>
      <c r="EK18" s="10">
        <f t="shared" si="101"/>
        <v>3.3609485567651514</v>
      </c>
      <c r="EL18" s="10">
        <v>176000</v>
      </c>
      <c r="EM18" s="10">
        <f t="shared" si="20"/>
        <v>225280</v>
      </c>
      <c r="EN18" s="10">
        <f t="shared" si="102"/>
        <v>2.194684747876237</v>
      </c>
      <c r="EO18" s="11">
        <v>1067819</v>
      </c>
      <c r="EP18" s="11">
        <f t="shared" si="21"/>
        <v>1302739.18</v>
      </c>
      <c r="EQ18" s="11">
        <f t="shared" si="103"/>
        <v>12.571426172715604</v>
      </c>
      <c r="ER18" s="10">
        <f t="shared" si="104"/>
        <v>18.127059477356994</v>
      </c>
      <c r="ES18" s="10">
        <f t="shared" si="115"/>
        <v>5.7827555930397727</v>
      </c>
      <c r="ET18" s="12">
        <v>2309212</v>
      </c>
      <c r="EU18" s="12">
        <f t="shared" si="22"/>
        <v>3025067.72</v>
      </c>
      <c r="EV18" s="12">
        <f t="shared" si="105"/>
        <v>29.583162716465672</v>
      </c>
      <c r="EW18" s="10">
        <v>540000</v>
      </c>
      <c r="EX18" s="10">
        <f t="shared" si="23"/>
        <v>691200</v>
      </c>
      <c r="EY18" s="10">
        <f t="shared" si="106"/>
        <v>6.7336918400748189</v>
      </c>
      <c r="EZ18" s="3">
        <f t="shared" si="107"/>
        <v>3122688.0202414771</v>
      </c>
      <c r="FA18" s="3">
        <f t="shared" si="108"/>
        <v>30.133922821672702</v>
      </c>
      <c r="FB18" s="3">
        <f t="shared" si="109"/>
        <v>66.450777378213189</v>
      </c>
      <c r="FC18" s="1">
        <f t="shared" si="110"/>
        <v>3.3323</v>
      </c>
      <c r="FD18">
        <f>33.4/10</f>
        <v>3.34</v>
      </c>
      <c r="FE18">
        <f>3.9</f>
        <v>3.9</v>
      </c>
      <c r="FF18" s="7">
        <f t="shared" si="111"/>
        <v>5.3</v>
      </c>
      <c r="FG18" s="1">
        <f t="shared" si="112"/>
        <v>0.28000000000000003</v>
      </c>
      <c r="FH18">
        <v>2.63E-2</v>
      </c>
      <c r="FI18">
        <v>3.4000000000000002E-2</v>
      </c>
      <c r="FJ18">
        <v>4.41E-2</v>
      </c>
      <c r="FK18">
        <v>4.0899999999999999E-2</v>
      </c>
      <c r="FL18" s="1">
        <f t="shared" si="113"/>
        <v>2.5666666666666672E-3</v>
      </c>
    </row>
    <row r="19" spans="1:168">
      <c r="A19" t="s">
        <v>114</v>
      </c>
      <c r="B19" s="1" t="s">
        <v>34</v>
      </c>
      <c r="C19" s="1">
        <v>3982123</v>
      </c>
      <c r="D19" s="6">
        <f t="shared" si="117"/>
        <v>4006488.7</v>
      </c>
      <c r="E19" s="6">
        <f t="shared" si="118"/>
        <v>4022732.5</v>
      </c>
      <c r="F19" s="1">
        <v>4063342</v>
      </c>
      <c r="G19" s="1">
        <f t="shared" si="2"/>
        <v>8121.9</v>
      </c>
      <c r="H19" s="1">
        <v>1.31</v>
      </c>
      <c r="I19" s="1">
        <v>1.28</v>
      </c>
      <c r="J19" s="1">
        <v>1.22</v>
      </c>
      <c r="K19">
        <v>1802803</v>
      </c>
      <c r="L19">
        <f t="shared" si="24"/>
        <v>0.45272408712638962</v>
      </c>
      <c r="M19" s="1">
        <v>1605583</v>
      </c>
      <c r="N19">
        <f t="shared" si="25"/>
        <v>0.39513853374882058</v>
      </c>
      <c r="O19">
        <f t="shared" si="26"/>
        <v>-0.12719790047639445</v>
      </c>
      <c r="P19">
        <f t="shared" si="27"/>
        <v>0.16263710447585791</v>
      </c>
      <c r="Q19">
        <f t="shared" si="28"/>
        <v>0.15417711913863014</v>
      </c>
      <c r="R19">
        <f t="shared" si="29"/>
        <v>912.77540565553147</v>
      </c>
      <c r="S19">
        <f t="shared" si="30"/>
        <v>886.91665621352411</v>
      </c>
      <c r="T19">
        <f t="shared" si="31"/>
        <v>1127.6539447382715</v>
      </c>
      <c r="U19">
        <v>92297.113769999996</v>
      </c>
      <c r="V19">
        <f t="shared" si="32"/>
        <v>1.221765122090742E-2</v>
      </c>
      <c r="W19">
        <f t="shared" si="33"/>
        <v>988.39829891749207</v>
      </c>
      <c r="X19">
        <v>79429.064259999999</v>
      </c>
      <c r="Y19">
        <f t="shared" si="34"/>
        <v>1.2443786265467105E-2</v>
      </c>
      <c r="Z19" s="1">
        <v>194802</v>
      </c>
      <c r="AA19" s="1">
        <f t="shared" si="35"/>
        <v>4.891913182993092E-2</v>
      </c>
      <c r="AB19" s="1">
        <v>2367779</v>
      </c>
      <c r="AC19" s="1">
        <f t="shared" si="3"/>
        <v>0.59460217577407826</v>
      </c>
      <c r="AD19" s="1">
        <v>61.278341249999997</v>
      </c>
      <c r="AE19" s="1">
        <v>311973</v>
      </c>
      <c r="AF19">
        <f t="shared" si="114"/>
        <v>1.6014876643976961</v>
      </c>
      <c r="AG19">
        <f t="shared" si="36"/>
        <v>0.13175765136864548</v>
      </c>
      <c r="AH19">
        <f t="shared" si="116"/>
        <v>9.7033007689985122E-3</v>
      </c>
      <c r="AI19">
        <v>1111933</v>
      </c>
      <c r="AJ19">
        <f t="shared" si="37"/>
        <v>1456632.23</v>
      </c>
      <c r="AK19">
        <f t="shared" si="4"/>
        <v>0.3635682861154706</v>
      </c>
      <c r="AL19">
        <f t="shared" si="38"/>
        <v>40.567501634999999</v>
      </c>
      <c r="AM19">
        <f t="shared" si="39"/>
        <v>8.962057594441521E-3</v>
      </c>
      <c r="AN19">
        <v>1366.33</v>
      </c>
      <c r="AO19">
        <f t="shared" si="40"/>
        <v>1366330</v>
      </c>
      <c r="AP19">
        <f t="shared" si="41"/>
        <v>1748902.4000000001</v>
      </c>
      <c r="AQ19">
        <f t="shared" si="5"/>
        <v>0.43475483393439662</v>
      </c>
      <c r="AR19">
        <f t="shared" si="42"/>
        <v>51.759606732800002</v>
      </c>
      <c r="AS19">
        <f t="shared" si="43"/>
        <v>8.3995003319623941E-3</v>
      </c>
      <c r="AT19" s="1">
        <v>207802</v>
      </c>
      <c r="AU19" s="1">
        <f t="shared" si="44"/>
        <v>5.1140662046167906E-2</v>
      </c>
      <c r="AV19" s="1">
        <f t="shared" si="45"/>
        <v>4.541229848395948E-2</v>
      </c>
      <c r="AW19" s="1">
        <v>1731986</v>
      </c>
      <c r="AX19" s="1">
        <f t="shared" si="46"/>
        <v>2113022.92</v>
      </c>
      <c r="AY19" s="1">
        <f t="shared" si="6"/>
        <v>0.52002093842949959</v>
      </c>
      <c r="AZ19" s="1">
        <f t="shared" si="47"/>
        <v>-0.12543048172920937</v>
      </c>
      <c r="BA19" s="1">
        <f t="shared" si="48"/>
        <v>60.4858519474</v>
      </c>
      <c r="BB19" s="1">
        <v>230242</v>
      </c>
      <c r="BC19" s="1">
        <f t="shared" si="49"/>
        <v>280895.24</v>
      </c>
      <c r="BD19" s="1">
        <f t="shared" si="50"/>
        <v>1.3517446415337677</v>
      </c>
      <c r="BE19" s="1">
        <f t="shared" si="51"/>
        <v>0.13293525467295925</v>
      </c>
      <c r="BF19" s="1">
        <f t="shared" si="52"/>
        <v>8.5973979316968652E-3</v>
      </c>
      <c r="BG19" s="1">
        <v>140640</v>
      </c>
      <c r="BH19" s="1">
        <f t="shared" si="53"/>
        <v>3.5317844275528407E-2</v>
      </c>
      <c r="BI19" s="1">
        <v>5929241.3830000004</v>
      </c>
      <c r="BJ19" s="1">
        <f t="shared" si="7"/>
        <v>1.4889649021388842</v>
      </c>
      <c r="BK19" s="1">
        <v>101.2013381</v>
      </c>
      <c r="BL19" s="1">
        <v>304892.59100000001</v>
      </c>
      <c r="BM19">
        <f t="shared" si="8"/>
        <v>2.1678938495449374</v>
      </c>
      <c r="BN19">
        <f t="shared" si="9"/>
        <v>5.1421855057912053E-2</v>
      </c>
      <c r="BO19">
        <f t="shared" si="54"/>
        <v>1.4712897379554354E-2</v>
      </c>
      <c r="BP19">
        <v>2354149</v>
      </c>
      <c r="BQ19">
        <f t="shared" si="55"/>
        <v>3083935.19</v>
      </c>
      <c r="BR19">
        <f t="shared" si="10"/>
        <v>0.76973515237918921</v>
      </c>
      <c r="BS19">
        <f t="shared" si="56"/>
        <v>59.525235619600004</v>
      </c>
      <c r="BT19">
        <f t="shared" si="57"/>
        <v>1.293124074801204E-2</v>
      </c>
      <c r="BU19">
        <v>3325.86</v>
      </c>
      <c r="BV19">
        <f t="shared" si="11"/>
        <v>3325860</v>
      </c>
      <c r="BW19">
        <f t="shared" si="58"/>
        <v>4257100.8</v>
      </c>
      <c r="BX19">
        <f t="shared" si="12"/>
        <v>1.0582609706213375</v>
      </c>
      <c r="BY19">
        <f t="shared" si="59"/>
        <v>76.247206297600002</v>
      </c>
      <c r="BZ19">
        <f t="shared" si="60"/>
        <v>1.3879340922877169E-2</v>
      </c>
      <c r="CA19" s="1">
        <v>98310</v>
      </c>
      <c r="CB19" s="1">
        <f t="shared" si="61"/>
        <v>2.4194370053025317E-2</v>
      </c>
      <c r="CC19" s="1">
        <f t="shared" si="62"/>
        <v>-0.3149533741562619</v>
      </c>
      <c r="CD19" s="1">
        <v>4149845</v>
      </c>
      <c r="CE19" s="1">
        <f t="shared" si="63"/>
        <v>5062810.8999999994</v>
      </c>
      <c r="CF19">
        <f t="shared" si="13"/>
        <v>1.2459721332833906</v>
      </c>
      <c r="CG19">
        <f t="shared" si="64"/>
        <v>-0.16319576674133604</v>
      </c>
      <c r="CH19">
        <f t="shared" si="65"/>
        <v>90.917938902799989</v>
      </c>
      <c r="CI19" s="1">
        <v>194914</v>
      </c>
      <c r="CJ19" s="1">
        <f t="shared" si="66"/>
        <v>237795.08</v>
      </c>
      <c r="CK19">
        <f t="shared" si="67"/>
        <v>2.4188290102736243</v>
      </c>
      <c r="CL19">
        <f t="shared" si="68"/>
        <v>4.6968983178889818E-2</v>
      </c>
      <c r="CM19">
        <f t="shared" si="69"/>
        <v>1.3704359649149707E-2</v>
      </c>
      <c r="CN19" s="1">
        <v>462750</v>
      </c>
      <c r="CO19" s="1">
        <f t="shared" si="70"/>
        <v>0.11620685749787237</v>
      </c>
      <c r="CP19" s="1">
        <v>4482159689</v>
      </c>
      <c r="CQ19" s="1">
        <f t="shared" si="14"/>
        <v>1125.5703776603586</v>
      </c>
      <c r="CR19" s="1">
        <v>108123.0123</v>
      </c>
      <c r="CS19" s="1">
        <v>727953161</v>
      </c>
      <c r="CT19">
        <f t="shared" si="71"/>
        <v>1573.102454889249</v>
      </c>
      <c r="CU19">
        <f t="shared" si="72"/>
        <v>0.16241125071615001</v>
      </c>
      <c r="CV19">
        <f t="shared" si="73"/>
        <v>1.0410090818939925E-2</v>
      </c>
      <c r="CW19" s="1">
        <v>393837</v>
      </c>
      <c r="CX19" s="1">
        <f t="shared" si="74"/>
        <v>9.6924403606686318E-2</v>
      </c>
      <c r="CY19" s="1">
        <f t="shared" si="75"/>
        <v>-0.16593215156462768</v>
      </c>
      <c r="CZ19" s="1">
        <v>3286085645</v>
      </c>
      <c r="DA19" s="1">
        <f t="shared" si="15"/>
        <v>4009024486.9000001</v>
      </c>
      <c r="DB19" s="1">
        <f t="shared" si="16"/>
        <v>986.63230584577923</v>
      </c>
      <c r="DC19" s="1">
        <f t="shared" si="76"/>
        <v>-0.12343792495977007</v>
      </c>
      <c r="DD19" s="1">
        <f t="shared" si="77"/>
        <v>93954.54819500001</v>
      </c>
      <c r="DE19" s="1">
        <v>508424374</v>
      </c>
      <c r="DF19" s="1">
        <f t="shared" si="78"/>
        <v>620277736.27999997</v>
      </c>
      <c r="DG19">
        <f t="shared" si="79"/>
        <v>1574.9605453017364</v>
      </c>
      <c r="DH19">
        <f t="shared" si="80"/>
        <v>0.15472036609076267</v>
      </c>
      <c r="DI19">
        <f t="shared" si="81"/>
        <v>1.0501165987175541E-2</v>
      </c>
      <c r="DJ19" s="1">
        <v>5965635</v>
      </c>
      <c r="DK19">
        <f t="shared" si="17"/>
        <v>1.4981041519812421</v>
      </c>
      <c r="DL19">
        <v>1889.3069949999999</v>
      </c>
      <c r="DM19" s="1">
        <v>2715084</v>
      </c>
      <c r="DN19" s="3">
        <f t="shared" si="82"/>
        <v>7.9293844565543582E-4</v>
      </c>
      <c r="DO19" s="1">
        <v>8454356</v>
      </c>
      <c r="DP19" s="1">
        <f t="shared" si="83"/>
        <v>10314314.32</v>
      </c>
      <c r="DQ19" s="3">
        <f t="shared" si="18"/>
        <v>2.5383820313426733</v>
      </c>
      <c r="DR19" s="3">
        <f t="shared" si="84"/>
        <v>1905.8896083399998</v>
      </c>
      <c r="DS19" s="3">
        <f t="shared" si="85"/>
        <v>2313455.650935031</v>
      </c>
      <c r="DT19" s="3">
        <f t="shared" si="86"/>
        <v>1.3318620450182132E-3</v>
      </c>
      <c r="DU19" s="3">
        <f t="shared" si="87"/>
        <v>0.85207516634293112</v>
      </c>
      <c r="DV19" s="3">
        <f t="shared" si="88"/>
        <v>525.93382589278929</v>
      </c>
      <c r="DW19" s="3">
        <f t="shared" si="89"/>
        <v>0.11336922684755323</v>
      </c>
      <c r="DX19" s="3">
        <f t="shared" si="90"/>
        <v>4496422344.3830004</v>
      </c>
      <c r="DY19" s="3">
        <f t="shared" si="91"/>
        <v>1129.1520488902529</v>
      </c>
      <c r="DZ19" s="3">
        <f t="shared" si="92"/>
        <v>4488125324</v>
      </c>
      <c r="EA19" s="3">
        <f t="shared" si="93"/>
        <v>4540567.42</v>
      </c>
      <c r="EB19" s="3">
        <f t="shared" si="94"/>
        <v>1.1333034384946599</v>
      </c>
      <c r="EC19" s="3">
        <f t="shared" si="95"/>
        <v>6006003.2000000002</v>
      </c>
      <c r="ED19" s="3">
        <f t="shared" si="96"/>
        <v>1.4930158045557342</v>
      </c>
      <c r="EE19" s="9">
        <f t="shared" si="97"/>
        <v>4026514635.0400004</v>
      </c>
      <c r="EF19" s="13">
        <f t="shared" si="98"/>
        <v>990.93668094883481</v>
      </c>
      <c r="EG19" s="14">
        <f t="shared" si="99"/>
        <v>-0.12240633852390223</v>
      </c>
      <c r="EH19" s="9">
        <f t="shared" si="100"/>
        <v>4019338801.2200003</v>
      </c>
      <c r="EI19" s="10">
        <v>4791508</v>
      </c>
      <c r="EJ19" s="10">
        <f t="shared" si="19"/>
        <v>6276875.4800000004</v>
      </c>
      <c r="EK19" s="10">
        <f t="shared" si="101"/>
        <v>1.5666774450156318</v>
      </c>
      <c r="EL19" s="10">
        <v>5346000</v>
      </c>
      <c r="EM19" s="10">
        <f t="shared" si="20"/>
        <v>6842880</v>
      </c>
      <c r="EN19" s="10">
        <f t="shared" si="102"/>
        <v>1.7010527048467676</v>
      </c>
      <c r="EO19" s="11">
        <v>46604011</v>
      </c>
      <c r="EP19" s="11">
        <f t="shared" si="21"/>
        <v>56856893.420000002</v>
      </c>
      <c r="EQ19" s="11">
        <f t="shared" si="103"/>
        <v>13.992642859006208</v>
      </c>
      <c r="ER19" s="10">
        <f t="shared" si="104"/>
        <v>17.260373008868608</v>
      </c>
      <c r="ES19" s="10">
        <f t="shared" si="115"/>
        <v>8.3089128291011978</v>
      </c>
      <c r="ET19" s="12">
        <v>1086294</v>
      </c>
      <c r="EU19" s="12">
        <f t="shared" si="22"/>
        <v>1423045.1400000001</v>
      </c>
      <c r="EV19" s="12">
        <f t="shared" si="105"/>
        <v>0.35518511258998436</v>
      </c>
      <c r="EW19" s="10">
        <v>90000</v>
      </c>
      <c r="EX19" s="10">
        <f t="shared" si="23"/>
        <v>115200</v>
      </c>
      <c r="EY19" s="10">
        <f t="shared" si="106"/>
        <v>2.8637250923346257E-2</v>
      </c>
      <c r="EZ19" s="3">
        <f t="shared" si="107"/>
        <v>747802.15461910784</v>
      </c>
      <c r="FA19" s="3">
        <f t="shared" si="108"/>
        <v>0.18403623288886534</v>
      </c>
      <c r="FB19" s="3">
        <f t="shared" si="109"/>
        <v>0.56785859640219594</v>
      </c>
      <c r="FC19" s="1">
        <f t="shared" si="110"/>
        <v>5.5823</v>
      </c>
      <c r="FD19">
        <f>55.9/10</f>
        <v>5.59</v>
      </c>
      <c r="FE19">
        <f>6.5</f>
        <v>6.5</v>
      </c>
      <c r="FF19" s="7">
        <f t="shared" si="111"/>
        <v>8.7750000000000004</v>
      </c>
      <c r="FG19" s="1">
        <f t="shared" si="112"/>
        <v>0.45500000000000007</v>
      </c>
      <c r="FH19">
        <v>2.63E-2</v>
      </c>
      <c r="FI19">
        <v>3.4000000000000002E-2</v>
      </c>
      <c r="FJ19">
        <v>4.41E-2</v>
      </c>
      <c r="FK19">
        <v>4.0899999999999999E-2</v>
      </c>
      <c r="FL19" s="1">
        <f t="shared" si="113"/>
        <v>2.5666666666666672E-3</v>
      </c>
    </row>
    <row r="20" spans="1:168">
      <c r="A20" t="s">
        <v>114</v>
      </c>
      <c r="B20" s="1" t="s">
        <v>35</v>
      </c>
      <c r="C20" s="1">
        <v>111733</v>
      </c>
      <c r="D20" s="6">
        <f t="shared" si="117"/>
        <v>113586.7</v>
      </c>
      <c r="E20" s="6">
        <f t="shared" si="118"/>
        <v>114822.5</v>
      </c>
      <c r="F20" s="1">
        <v>117912</v>
      </c>
      <c r="G20" s="1">
        <f t="shared" si="2"/>
        <v>617.9</v>
      </c>
      <c r="H20" s="1">
        <v>1.31</v>
      </c>
      <c r="I20" s="1">
        <v>1.28</v>
      </c>
      <c r="J20" s="1">
        <v>1.22</v>
      </c>
      <c r="K20">
        <v>46305</v>
      </c>
      <c r="L20">
        <f t="shared" si="24"/>
        <v>0.41442546069648178</v>
      </c>
      <c r="M20" s="1">
        <v>41686</v>
      </c>
      <c r="N20">
        <f t="shared" si="25"/>
        <v>0.3535348395413529</v>
      </c>
      <c r="O20">
        <f t="shared" si="26"/>
        <v>-0.14692779988178417</v>
      </c>
      <c r="P20">
        <f t="shared" si="27"/>
        <v>0.18241969657137597</v>
      </c>
      <c r="Q20">
        <f t="shared" si="28"/>
        <v>0.11761120867351889</v>
      </c>
      <c r="R20">
        <f t="shared" si="29"/>
        <v>590.95338372717504</v>
      </c>
      <c r="S20">
        <f t="shared" si="30"/>
        <v>580.32223794854724</v>
      </c>
      <c r="T20">
        <f t="shared" si="31"/>
        <v>300.14397340982521</v>
      </c>
      <c r="U20">
        <v>92297.113769999996</v>
      </c>
      <c r="V20">
        <f t="shared" si="32"/>
        <v>3.2519323860740615E-3</v>
      </c>
      <c r="W20">
        <f t="shared" si="33"/>
        <v>432.53898127417051</v>
      </c>
      <c r="X20">
        <v>79429.064259999999</v>
      </c>
      <c r="Y20">
        <f t="shared" si="34"/>
        <v>5.4456008679431784E-3</v>
      </c>
      <c r="Z20" s="1">
        <v>4799</v>
      </c>
      <c r="AA20" s="1">
        <f t="shared" si="35"/>
        <v>4.2950605461233478E-2</v>
      </c>
      <c r="AB20" s="1">
        <v>50856</v>
      </c>
      <c r="AC20" s="1">
        <f t="shared" si="3"/>
        <v>0.45515648913033752</v>
      </c>
      <c r="AD20" s="1">
        <v>61.278341249999997</v>
      </c>
      <c r="AE20" s="1">
        <v>5868</v>
      </c>
      <c r="AF20">
        <f t="shared" si="114"/>
        <v>1.2227547405709522</v>
      </c>
      <c r="AG20">
        <f t="shared" si="36"/>
        <v>0.11538461538461539</v>
      </c>
      <c r="AH20">
        <f t="shared" si="116"/>
        <v>7.4276894551276312E-3</v>
      </c>
      <c r="AI20">
        <v>27022</v>
      </c>
      <c r="AJ20">
        <f t="shared" si="37"/>
        <v>35398.82</v>
      </c>
      <c r="AK20">
        <f t="shared" si="4"/>
        <v>0.31164581768816246</v>
      </c>
      <c r="AL20">
        <f t="shared" si="38"/>
        <v>40.567501634999999</v>
      </c>
      <c r="AM20">
        <f t="shared" si="39"/>
        <v>7.6821545603707343E-3</v>
      </c>
      <c r="AN20">
        <v>32.770000000000003</v>
      </c>
      <c r="AO20">
        <f t="shared" si="40"/>
        <v>32770</v>
      </c>
      <c r="AP20">
        <f t="shared" si="41"/>
        <v>41945.599999999999</v>
      </c>
      <c r="AQ20">
        <f t="shared" si="5"/>
        <v>0.36530819308062445</v>
      </c>
      <c r="AR20">
        <f t="shared" si="42"/>
        <v>51.759606732800002</v>
      </c>
      <c r="AS20">
        <f t="shared" si="43"/>
        <v>7.0577853299091838E-3</v>
      </c>
      <c r="AT20" s="1">
        <v>6086</v>
      </c>
      <c r="AU20" s="1">
        <f t="shared" si="44"/>
        <v>5.1614763552479813E-2</v>
      </c>
      <c r="AV20" s="1">
        <f t="shared" si="45"/>
        <v>0.20172377078750298</v>
      </c>
      <c r="AW20" s="1">
        <v>45562</v>
      </c>
      <c r="AX20" s="1">
        <f t="shared" si="46"/>
        <v>55585.64</v>
      </c>
      <c r="AY20" s="1">
        <f t="shared" si="6"/>
        <v>0.47141631046882421</v>
      </c>
      <c r="AZ20" s="1">
        <f t="shared" si="47"/>
        <v>3.5723584584181484E-2</v>
      </c>
      <c r="BA20" s="1">
        <f t="shared" si="48"/>
        <v>60.4858519474</v>
      </c>
      <c r="BB20" s="1">
        <v>5584</v>
      </c>
      <c r="BC20" s="1">
        <f t="shared" si="49"/>
        <v>6812.48</v>
      </c>
      <c r="BD20" s="1">
        <f t="shared" si="50"/>
        <v>1.1193690437068682</v>
      </c>
      <c r="BE20" s="1">
        <f t="shared" si="51"/>
        <v>0.12255827224441419</v>
      </c>
      <c r="BF20" s="1">
        <f t="shared" si="52"/>
        <v>7.7938277347697699E-3</v>
      </c>
      <c r="BG20" s="1">
        <v>1129</v>
      </c>
      <c r="BH20" s="1">
        <f t="shared" si="53"/>
        <v>1.0104445418989914E-2</v>
      </c>
      <c r="BI20" s="1">
        <v>43554.580999999998</v>
      </c>
      <c r="BJ20" s="1">
        <f t="shared" si="7"/>
        <v>0.38980946542203287</v>
      </c>
      <c r="BK20" s="1">
        <v>101.2013381</v>
      </c>
      <c r="BL20" s="1">
        <v>1916.203</v>
      </c>
      <c r="BM20">
        <f t="shared" si="8"/>
        <v>1.6972568644818422</v>
      </c>
      <c r="BN20">
        <f t="shared" si="9"/>
        <v>4.3995441030646121E-2</v>
      </c>
      <c r="BO20">
        <f t="shared" si="54"/>
        <v>3.8518212579052142E-3</v>
      </c>
      <c r="BP20">
        <v>27671</v>
      </c>
      <c r="BQ20">
        <f t="shared" si="55"/>
        <v>36249.01</v>
      </c>
      <c r="BR20">
        <f t="shared" si="10"/>
        <v>0.31913076090774717</v>
      </c>
      <c r="BS20">
        <f t="shared" si="56"/>
        <v>59.525235619600004</v>
      </c>
      <c r="BT20">
        <f t="shared" si="57"/>
        <v>5.3612683357891038E-3</v>
      </c>
      <c r="BU20">
        <v>28.74</v>
      </c>
      <c r="BV20">
        <f t="shared" si="11"/>
        <v>28740</v>
      </c>
      <c r="BW20">
        <f t="shared" si="58"/>
        <v>36787.200000000004</v>
      </c>
      <c r="BX20">
        <f t="shared" si="12"/>
        <v>0.32038320015676375</v>
      </c>
      <c r="BY20">
        <f t="shared" si="59"/>
        <v>76.247206297600002</v>
      </c>
      <c r="BZ20">
        <f t="shared" si="60"/>
        <v>4.2019008395701484E-3</v>
      </c>
      <c r="CA20" s="1">
        <v>1427</v>
      </c>
      <c r="CB20" s="1">
        <f t="shared" si="61"/>
        <v>1.2102245742587692E-2</v>
      </c>
      <c r="CC20" s="1">
        <f t="shared" si="62"/>
        <v>0.19771498986408373</v>
      </c>
      <c r="CD20" s="1">
        <v>36461</v>
      </c>
      <c r="CE20" s="1">
        <f t="shared" si="63"/>
        <v>44482.42</v>
      </c>
      <c r="CF20">
        <f t="shared" si="13"/>
        <v>0.37725100074631929</v>
      </c>
      <c r="CG20">
        <f t="shared" si="64"/>
        <v>-3.2216931064300819E-2</v>
      </c>
      <c r="CH20">
        <f t="shared" si="65"/>
        <v>90.917938902799989</v>
      </c>
      <c r="CI20" s="1">
        <v>2197</v>
      </c>
      <c r="CJ20" s="1">
        <f t="shared" si="66"/>
        <v>2680.34</v>
      </c>
      <c r="CK20">
        <f t="shared" si="67"/>
        <v>1.8783041345480029</v>
      </c>
      <c r="CL20">
        <f t="shared" si="68"/>
        <v>6.0256164120567189E-2</v>
      </c>
      <c r="CM20">
        <f t="shared" si="69"/>
        <v>4.1493571598629929E-3</v>
      </c>
      <c r="CN20" s="1">
        <v>5244</v>
      </c>
      <c r="CO20" s="1">
        <f t="shared" si="70"/>
        <v>4.6933314240197616E-2</v>
      </c>
      <c r="CP20" s="1">
        <v>33441576</v>
      </c>
      <c r="CQ20" s="1">
        <f t="shared" si="14"/>
        <v>299.29900745527283</v>
      </c>
      <c r="CR20" s="1">
        <v>108123.0123</v>
      </c>
      <c r="CS20" s="1">
        <v>6594347</v>
      </c>
      <c r="CT20">
        <f t="shared" si="71"/>
        <v>1257.5032418001526</v>
      </c>
      <c r="CU20">
        <f t="shared" si="72"/>
        <v>0.19719007860155874</v>
      </c>
      <c r="CV20">
        <f t="shared" si="73"/>
        <v>2.7681341935316467E-3</v>
      </c>
      <c r="CW20" s="1">
        <v>4498</v>
      </c>
      <c r="CX20" s="1">
        <f t="shared" si="74"/>
        <v>3.8147092747133453E-2</v>
      </c>
      <c r="CY20" s="1">
        <f t="shared" si="75"/>
        <v>-0.18720650001612091</v>
      </c>
      <c r="CZ20" s="1">
        <v>41722515</v>
      </c>
      <c r="DA20" s="1">
        <f t="shared" si="15"/>
        <v>50901468.299999997</v>
      </c>
      <c r="DB20" s="1">
        <f t="shared" si="16"/>
        <v>431.69031396295537</v>
      </c>
      <c r="DC20" s="1">
        <f t="shared" si="76"/>
        <v>0.44233794035373497</v>
      </c>
      <c r="DD20" s="1">
        <f t="shared" si="77"/>
        <v>93954.54819500001</v>
      </c>
      <c r="DE20" s="1">
        <v>5705539</v>
      </c>
      <c r="DF20" s="1">
        <f t="shared" si="78"/>
        <v>6960757.5800000001</v>
      </c>
      <c r="DG20">
        <f t="shared" si="79"/>
        <v>1547.5228056914184</v>
      </c>
      <c r="DH20">
        <f t="shared" si="80"/>
        <v>0.13674964224951444</v>
      </c>
      <c r="DI20">
        <f t="shared" si="81"/>
        <v>4.5946718094689179E-3</v>
      </c>
      <c r="DJ20" s="1">
        <v>7996898</v>
      </c>
      <c r="DK20">
        <f t="shared" si="17"/>
        <v>71.571496335012938</v>
      </c>
      <c r="DL20">
        <v>1889.3069949999999</v>
      </c>
      <c r="DM20" s="1">
        <v>974285</v>
      </c>
      <c r="DN20" s="3">
        <f t="shared" si="82"/>
        <v>3.7882406895451602E-2</v>
      </c>
      <c r="DO20" s="1">
        <v>6773485</v>
      </c>
      <c r="DP20" s="1">
        <f t="shared" si="83"/>
        <v>8263651.7000000002</v>
      </c>
      <c r="DQ20" s="3">
        <f t="shared" si="18"/>
        <v>70.083212056448872</v>
      </c>
      <c r="DR20" s="3">
        <f t="shared" si="84"/>
        <v>1905.8896083399998</v>
      </c>
      <c r="DS20" s="3">
        <f t="shared" si="85"/>
        <v>1028608.8237504541</v>
      </c>
      <c r="DT20" s="3">
        <f t="shared" si="86"/>
        <v>3.6771915723644799E-2</v>
      </c>
      <c r="DU20" s="3">
        <f t="shared" si="87"/>
        <v>1.0557576312377324</v>
      </c>
      <c r="DV20" s="3">
        <f t="shared" si="88"/>
        <v>468.49062204581315</v>
      </c>
      <c r="DW20" s="3">
        <f t="shared" si="89"/>
        <v>0.11268903560521935</v>
      </c>
      <c r="DX20" s="3">
        <f t="shared" si="90"/>
        <v>41532884.581</v>
      </c>
      <c r="DY20" s="3">
        <f t="shared" si="91"/>
        <v>371.71546974483812</v>
      </c>
      <c r="DZ20" s="3">
        <f t="shared" si="92"/>
        <v>41438474</v>
      </c>
      <c r="EA20" s="3">
        <f t="shared" si="93"/>
        <v>71647.83</v>
      </c>
      <c r="EB20" s="3">
        <f t="shared" si="94"/>
        <v>0.63077657859590963</v>
      </c>
      <c r="EC20" s="3">
        <f t="shared" si="95"/>
        <v>78732.800000000003</v>
      </c>
      <c r="ED20" s="3">
        <f t="shared" si="96"/>
        <v>0.68569139323738815</v>
      </c>
      <c r="EE20" s="9">
        <f t="shared" si="97"/>
        <v>59265188.060000002</v>
      </c>
      <c r="EF20" s="13">
        <f t="shared" si="98"/>
        <v>502.62219333061944</v>
      </c>
      <c r="EG20" s="14">
        <f t="shared" si="99"/>
        <v>0.35216915689745565</v>
      </c>
      <c r="EH20" s="9">
        <f t="shared" si="100"/>
        <v>59165120</v>
      </c>
      <c r="EI20" s="10">
        <v>225310</v>
      </c>
      <c r="EJ20" s="10">
        <f t="shared" si="19"/>
        <v>295156.10000000003</v>
      </c>
      <c r="EK20" s="10">
        <f t="shared" si="101"/>
        <v>2.5985093325186845</v>
      </c>
      <c r="EL20" s="10">
        <v>102000</v>
      </c>
      <c r="EM20" s="10">
        <f t="shared" si="20"/>
        <v>130560</v>
      </c>
      <c r="EN20" s="10">
        <f t="shared" si="102"/>
        <v>1.1370593742515622</v>
      </c>
      <c r="EO20" s="11">
        <v>2015199</v>
      </c>
      <c r="EP20" s="11">
        <f t="shared" si="21"/>
        <v>2458542.7799999998</v>
      </c>
      <c r="EQ20" s="11">
        <f t="shared" si="103"/>
        <v>20.850657948300427</v>
      </c>
      <c r="ER20" s="10">
        <f t="shared" si="104"/>
        <v>24.586226655070675</v>
      </c>
      <c r="ES20" s="10">
        <f t="shared" si="115"/>
        <v>18.830750459558821</v>
      </c>
      <c r="ET20" s="12">
        <v>417915</v>
      </c>
      <c r="EU20" s="12">
        <f t="shared" si="22"/>
        <v>547468.65</v>
      </c>
      <c r="EV20" s="12">
        <f t="shared" si="105"/>
        <v>4.8198305787561395</v>
      </c>
      <c r="EW20" s="10">
        <v>978000</v>
      </c>
      <c r="EX20" s="10">
        <f t="shared" si="23"/>
        <v>1251840</v>
      </c>
      <c r="EY20" s="10">
        <f t="shared" si="106"/>
        <v>10.902392823706155</v>
      </c>
      <c r="EZ20" s="3">
        <f t="shared" si="107"/>
        <v>18416473.949448526</v>
      </c>
      <c r="FA20" s="3">
        <f t="shared" si="108"/>
        <v>156.18829253552246</v>
      </c>
      <c r="FB20" s="3">
        <f t="shared" si="109"/>
        <v>171.91051593798477</v>
      </c>
      <c r="FC20" s="1">
        <f t="shared" si="110"/>
        <v>3.1923000000000004</v>
      </c>
      <c r="FD20">
        <f>32/10</f>
        <v>3.2</v>
      </c>
      <c r="FE20">
        <f>3.7</f>
        <v>3.7</v>
      </c>
      <c r="FF20" s="7">
        <f t="shared" si="111"/>
        <v>4.95</v>
      </c>
      <c r="FG20" s="1">
        <f t="shared" si="112"/>
        <v>0.25</v>
      </c>
      <c r="FH20">
        <v>2.63E-2</v>
      </c>
      <c r="FI20">
        <v>3.4000000000000002E-2</v>
      </c>
      <c r="FJ20">
        <v>4.41E-2</v>
      </c>
      <c r="FK20">
        <v>4.0899999999999999E-2</v>
      </c>
      <c r="FL20" s="1">
        <f t="shared" si="113"/>
        <v>2.5666666666666672E-3</v>
      </c>
    </row>
    <row r="21" spans="1:168">
      <c r="A21" t="s">
        <v>115</v>
      </c>
      <c r="B21" s="1" t="s">
        <v>36</v>
      </c>
      <c r="C21" s="1">
        <v>146743</v>
      </c>
      <c r="D21" s="6">
        <f t="shared" si="117"/>
        <v>149245.29999999999</v>
      </c>
      <c r="E21" s="6">
        <f t="shared" si="118"/>
        <v>150913.5</v>
      </c>
      <c r="F21" s="1">
        <v>155084</v>
      </c>
      <c r="G21" s="1">
        <f t="shared" si="2"/>
        <v>834.1</v>
      </c>
      <c r="H21" s="1">
        <v>1.31</v>
      </c>
      <c r="I21" s="1">
        <v>1.28</v>
      </c>
      <c r="J21" s="1">
        <v>1.22</v>
      </c>
      <c r="K21">
        <v>60562</v>
      </c>
      <c r="L21">
        <f t="shared" si="24"/>
        <v>0.41270793155380497</v>
      </c>
      <c r="M21" s="1">
        <v>55823</v>
      </c>
      <c r="N21">
        <f t="shared" si="25"/>
        <v>0.35995331562250138</v>
      </c>
      <c r="O21">
        <f t="shared" si="26"/>
        <v>-0.12782554416312678</v>
      </c>
      <c r="P21">
        <f t="shared" si="27"/>
        <v>0.22851617352918235</v>
      </c>
      <c r="Q21">
        <f t="shared" si="28"/>
        <v>0.15254421898575624</v>
      </c>
      <c r="R21">
        <f t="shared" si="29"/>
        <v>1022.8142183733069</v>
      </c>
      <c r="S21">
        <f t="shared" si="30"/>
        <v>971.38633551780265</v>
      </c>
      <c r="T21">
        <f t="shared" si="31"/>
        <v>960.77170029916249</v>
      </c>
      <c r="U21">
        <v>92297.113769999996</v>
      </c>
      <c r="V21">
        <f t="shared" si="32"/>
        <v>1.0409553029939372E-2</v>
      </c>
      <c r="W21">
        <f t="shared" si="33"/>
        <v>949.09844303732166</v>
      </c>
      <c r="X21">
        <v>79429.064259999999</v>
      </c>
      <c r="Y21">
        <f t="shared" si="34"/>
        <v>1.1949006977226621E-2</v>
      </c>
      <c r="Z21" s="1">
        <v>6504</v>
      </c>
      <c r="AA21" s="1">
        <f t="shared" si="35"/>
        <v>4.4322386757801056E-2</v>
      </c>
      <c r="AB21" s="1">
        <v>73292</v>
      </c>
      <c r="AC21" s="1">
        <f t="shared" si="3"/>
        <v>0.49945823650872612</v>
      </c>
      <c r="AD21" s="1">
        <v>61.278341249999997</v>
      </c>
      <c r="AE21" s="1">
        <v>8823</v>
      </c>
      <c r="AF21">
        <f t="shared" si="114"/>
        <v>1.356549815498155</v>
      </c>
      <c r="AG21">
        <f t="shared" si="36"/>
        <v>0.12038148774763958</v>
      </c>
      <c r="AH21">
        <f t="shared" si="116"/>
        <v>8.1506487662755742E-3</v>
      </c>
      <c r="AI21">
        <v>33722</v>
      </c>
      <c r="AJ21">
        <f t="shared" si="37"/>
        <v>44175.82</v>
      </c>
      <c r="AK21">
        <f t="shared" si="4"/>
        <v>0.29599471474143574</v>
      </c>
      <c r="AL21">
        <f t="shared" si="38"/>
        <v>40.567501634999999</v>
      </c>
      <c r="AM21">
        <f t="shared" si="39"/>
        <v>7.2963505962137798E-3</v>
      </c>
      <c r="AN21">
        <v>45.85</v>
      </c>
      <c r="AO21">
        <f t="shared" si="40"/>
        <v>45850</v>
      </c>
      <c r="AP21">
        <f t="shared" si="41"/>
        <v>58688</v>
      </c>
      <c r="AQ21">
        <f t="shared" si="5"/>
        <v>0.38888502353997489</v>
      </c>
      <c r="AR21">
        <f t="shared" si="42"/>
        <v>51.759606732800002</v>
      </c>
      <c r="AS21">
        <f t="shared" si="43"/>
        <v>7.513291697665448E-3</v>
      </c>
      <c r="AT21" s="1">
        <v>7568</v>
      </c>
      <c r="AU21" s="1">
        <f t="shared" si="44"/>
        <v>4.8799360346650847E-2</v>
      </c>
      <c r="AV21" s="1">
        <f t="shared" si="45"/>
        <v>0.10100930740291894</v>
      </c>
      <c r="AW21" s="1">
        <v>61129</v>
      </c>
      <c r="AX21" s="1">
        <f t="shared" si="46"/>
        <v>74577.38</v>
      </c>
      <c r="AY21" s="1">
        <f t="shared" si="6"/>
        <v>0.48088377911325481</v>
      </c>
      <c r="AZ21" s="1">
        <f t="shared" si="47"/>
        <v>-3.7189210303766394E-2</v>
      </c>
      <c r="BA21" s="1">
        <f t="shared" si="48"/>
        <v>60.4858519474</v>
      </c>
      <c r="BB21" s="1">
        <v>7240</v>
      </c>
      <c r="BC21" s="1">
        <f t="shared" si="49"/>
        <v>8832.7999999999993</v>
      </c>
      <c r="BD21" s="1">
        <f t="shared" si="50"/>
        <v>1.1671247357293868</v>
      </c>
      <c r="BE21" s="1">
        <f t="shared" si="51"/>
        <v>0.11843805722324918</v>
      </c>
      <c r="BF21" s="1">
        <f t="shared" si="52"/>
        <v>7.9503514231963422E-3</v>
      </c>
      <c r="BG21" s="1">
        <v>2378</v>
      </c>
      <c r="BH21" s="1">
        <f t="shared" si="53"/>
        <v>1.6205202292443252E-2</v>
      </c>
      <c r="BI21" s="1">
        <v>58136.616999999998</v>
      </c>
      <c r="BJ21" s="1">
        <f t="shared" si="7"/>
        <v>0.39617983140592739</v>
      </c>
      <c r="BK21" s="1">
        <v>101.2013381</v>
      </c>
      <c r="BL21" s="1">
        <v>4143.0609999999997</v>
      </c>
      <c r="BM21">
        <f t="shared" si="8"/>
        <v>1.7422460050462572</v>
      </c>
      <c r="BN21">
        <f t="shared" si="9"/>
        <v>7.1264225780457782E-2</v>
      </c>
      <c r="BO21">
        <f t="shared" si="54"/>
        <v>3.9147687060664205E-3</v>
      </c>
      <c r="BP21">
        <v>32091</v>
      </c>
      <c r="BQ21">
        <f t="shared" si="55"/>
        <v>42039.21</v>
      </c>
      <c r="BR21">
        <f t="shared" si="10"/>
        <v>0.28167861902518876</v>
      </c>
      <c r="BS21">
        <f t="shared" si="56"/>
        <v>59.525235619600004</v>
      </c>
      <c r="BT21">
        <f t="shared" si="57"/>
        <v>4.7320874263358619E-3</v>
      </c>
      <c r="BU21">
        <v>33.32</v>
      </c>
      <c r="BV21">
        <f t="shared" si="11"/>
        <v>33320</v>
      </c>
      <c r="BW21">
        <f t="shared" si="58"/>
        <v>42649.599999999999</v>
      </c>
      <c r="BX21">
        <f t="shared" si="12"/>
        <v>0.28260957435882145</v>
      </c>
      <c r="BY21">
        <f t="shared" si="59"/>
        <v>76.247206297600002</v>
      </c>
      <c r="BZ21">
        <f t="shared" si="60"/>
        <v>3.7064908746396526E-3</v>
      </c>
      <c r="CA21" s="1">
        <v>2214</v>
      </c>
      <c r="CB21" s="1">
        <f t="shared" si="61"/>
        <v>1.4276134224033427E-2</v>
      </c>
      <c r="CC21" s="1">
        <f t="shared" si="62"/>
        <v>-0.11904004859657821</v>
      </c>
      <c r="CD21" s="1">
        <v>54940</v>
      </c>
      <c r="CE21" s="1">
        <f t="shared" si="63"/>
        <v>67026.8</v>
      </c>
      <c r="CF21">
        <f t="shared" si="13"/>
        <v>0.43219674498981198</v>
      </c>
      <c r="CG21">
        <f t="shared" si="64"/>
        <v>9.0910517721386794E-2</v>
      </c>
      <c r="CH21">
        <f t="shared" si="65"/>
        <v>90.917938902799989</v>
      </c>
      <c r="CI21" s="1">
        <v>3598</v>
      </c>
      <c r="CJ21" s="1">
        <f t="shared" si="66"/>
        <v>4389.5599999999995</v>
      </c>
      <c r="CK21">
        <f t="shared" si="67"/>
        <v>1.9826377597109301</v>
      </c>
      <c r="CL21">
        <f t="shared" si="68"/>
        <v>6.548962504550418E-2</v>
      </c>
      <c r="CM21">
        <f t="shared" si="69"/>
        <v>4.7537015269546734E-3</v>
      </c>
      <c r="CN21" s="1">
        <v>23306</v>
      </c>
      <c r="CO21" s="1">
        <f t="shared" si="70"/>
        <v>0.15882188588212043</v>
      </c>
      <c r="CP21" s="1">
        <v>140855093</v>
      </c>
      <c r="CQ21" s="1">
        <f t="shared" si="14"/>
        <v>959.87606223124783</v>
      </c>
      <c r="CR21" s="1">
        <v>108123.0123</v>
      </c>
      <c r="CS21" s="1">
        <v>32909378</v>
      </c>
      <c r="CT21">
        <f t="shared" si="71"/>
        <v>1412.0560370719986</v>
      </c>
      <c r="CU21">
        <f t="shared" si="72"/>
        <v>0.2336399579105031</v>
      </c>
      <c r="CV21">
        <f t="shared" si="73"/>
        <v>8.877629672099395E-3</v>
      </c>
      <c r="CW21" s="1">
        <v>14175</v>
      </c>
      <c r="CX21" s="1">
        <f t="shared" si="74"/>
        <v>9.1402078873384751E-2</v>
      </c>
      <c r="CY21" s="1">
        <f t="shared" si="75"/>
        <v>-0.42449947395018023</v>
      </c>
      <c r="CZ21" s="1">
        <v>120531458</v>
      </c>
      <c r="DA21" s="1">
        <f t="shared" si="15"/>
        <v>147048378.75999999</v>
      </c>
      <c r="DB21" s="1">
        <f t="shared" si="16"/>
        <v>948.18536251321859</v>
      </c>
      <c r="DC21" s="1">
        <f t="shared" si="76"/>
        <v>-1.2179384587270581E-2</v>
      </c>
      <c r="DD21" s="1">
        <f t="shared" si="77"/>
        <v>93954.54819500001</v>
      </c>
      <c r="DE21" s="1">
        <v>19064164</v>
      </c>
      <c r="DF21" s="1">
        <f t="shared" si="78"/>
        <v>23258280.079999998</v>
      </c>
      <c r="DG21">
        <f t="shared" si="79"/>
        <v>1640.7957728395061</v>
      </c>
      <c r="DH21">
        <f t="shared" si="80"/>
        <v>0.15816753830356886</v>
      </c>
      <c r="DI21">
        <f t="shared" si="81"/>
        <v>1.0091958087492334E-2</v>
      </c>
      <c r="DJ21" s="1">
        <v>4363265</v>
      </c>
      <c r="DK21">
        <f t="shared" si="17"/>
        <v>29.734058864818085</v>
      </c>
      <c r="DL21">
        <v>1889.3069949999999</v>
      </c>
      <c r="DM21" s="1">
        <v>292433</v>
      </c>
      <c r="DN21" s="3">
        <f t="shared" si="82"/>
        <v>1.5738076947530745E-2</v>
      </c>
      <c r="DO21" s="1">
        <v>4398195</v>
      </c>
      <c r="DP21" s="1">
        <f t="shared" si="83"/>
        <v>5365797.8999999994</v>
      </c>
      <c r="DQ21" s="3">
        <f t="shared" si="18"/>
        <v>34.599300379149362</v>
      </c>
      <c r="DR21" s="3">
        <f t="shared" si="84"/>
        <v>1905.8896083399998</v>
      </c>
      <c r="DS21" s="3">
        <f t="shared" si="85"/>
        <v>206709.31755124271</v>
      </c>
      <c r="DT21" s="3">
        <f t="shared" si="86"/>
        <v>1.815388479361342E-2</v>
      </c>
      <c r="DU21" s="3">
        <f t="shared" si="87"/>
        <v>0.70686043487309136</v>
      </c>
      <c r="DV21" s="3">
        <f t="shared" si="88"/>
        <v>509.85006137124816</v>
      </c>
      <c r="DW21" s="3">
        <f t="shared" si="89"/>
        <v>0.12789681533515376</v>
      </c>
      <c r="DX21" s="3">
        <f t="shared" si="90"/>
        <v>145349786.61700001</v>
      </c>
      <c r="DY21" s="3">
        <f t="shared" si="91"/>
        <v>990.50575916398066</v>
      </c>
      <c r="DZ21" s="3">
        <f t="shared" si="92"/>
        <v>145218358</v>
      </c>
      <c r="EA21" s="3">
        <f t="shared" si="93"/>
        <v>86215.03</v>
      </c>
      <c r="EB21" s="3">
        <f t="shared" si="94"/>
        <v>0.57767333376662455</v>
      </c>
      <c r="EC21" s="3">
        <f t="shared" si="95"/>
        <v>101337.60000000001</v>
      </c>
      <c r="ED21" s="3">
        <f t="shared" si="96"/>
        <v>0.6714945978987964</v>
      </c>
      <c r="EE21" s="9">
        <f t="shared" si="97"/>
        <v>152555780.84</v>
      </c>
      <c r="EF21" s="13">
        <f t="shared" si="98"/>
        <v>983.6977434164711</v>
      </c>
      <c r="EG21" s="14">
        <f t="shared" si="99"/>
        <v>-6.8732722495785849E-3</v>
      </c>
      <c r="EH21" s="9">
        <f t="shared" si="100"/>
        <v>152414176.66</v>
      </c>
      <c r="EI21" s="10">
        <v>345090</v>
      </c>
      <c r="EJ21" s="10">
        <f t="shared" si="19"/>
        <v>452067.9</v>
      </c>
      <c r="EK21" s="10">
        <f t="shared" si="101"/>
        <v>3.0290260396809821</v>
      </c>
      <c r="EL21" s="10">
        <v>695000</v>
      </c>
      <c r="EM21" s="10">
        <f t="shared" si="20"/>
        <v>889600</v>
      </c>
      <c r="EN21" s="10">
        <f t="shared" si="102"/>
        <v>5.8947675323943844</v>
      </c>
      <c r="EO21" s="11">
        <v>1464920</v>
      </c>
      <c r="EP21" s="11">
        <f t="shared" si="21"/>
        <v>1787202.4</v>
      </c>
      <c r="EQ21" s="11">
        <f t="shared" si="103"/>
        <v>11.524092749735626</v>
      </c>
      <c r="ER21" s="10">
        <f t="shared" si="104"/>
        <v>20.447886321810991</v>
      </c>
      <c r="ES21" s="10">
        <f t="shared" si="115"/>
        <v>2.0089955035971223</v>
      </c>
      <c r="ET21" s="12">
        <v>496689</v>
      </c>
      <c r="EU21" s="12">
        <f t="shared" si="22"/>
        <v>650662.59000000008</v>
      </c>
      <c r="EV21" s="12">
        <f t="shared" si="105"/>
        <v>4.3596856316413319</v>
      </c>
      <c r="EW21" s="10">
        <v>495</v>
      </c>
      <c r="EX21" s="10">
        <f t="shared" si="23"/>
        <v>633.6</v>
      </c>
      <c r="EY21" s="10">
        <f t="shared" si="106"/>
        <v>4.198431551849238E-3</v>
      </c>
      <c r="EZ21" s="3">
        <f t="shared" si="107"/>
        <v>994.45277428057557</v>
      </c>
      <c r="FA21" s="3">
        <f t="shared" si="108"/>
        <v>6.4123492705925539E-3</v>
      </c>
      <c r="FB21" s="3">
        <f t="shared" si="109"/>
        <v>4.370296412463774</v>
      </c>
      <c r="FC21" s="1">
        <f t="shared" si="110"/>
        <v>2.8123</v>
      </c>
      <c r="FD21">
        <f>28.2/10</f>
        <v>2.82</v>
      </c>
      <c r="FE21">
        <f>3.8</f>
        <v>3.8</v>
      </c>
      <c r="FF21" s="7">
        <f t="shared" si="111"/>
        <v>6.25</v>
      </c>
      <c r="FG21" s="1">
        <f t="shared" si="112"/>
        <v>0.49</v>
      </c>
      <c r="FH21">
        <v>2.63E-2</v>
      </c>
      <c r="FI21">
        <v>3.4000000000000002E-2</v>
      </c>
      <c r="FJ21">
        <v>4.41E-2</v>
      </c>
      <c r="FK21">
        <v>4.0899999999999999E-2</v>
      </c>
      <c r="FL21" s="1">
        <f t="shared" si="113"/>
        <v>2.5666666666666672E-3</v>
      </c>
    </row>
    <row r="22" spans="1:168">
      <c r="A22" t="s">
        <v>115</v>
      </c>
      <c r="B22" s="1" t="s">
        <v>37</v>
      </c>
      <c r="C22" s="1">
        <v>422666</v>
      </c>
      <c r="D22" s="6">
        <f t="shared" si="117"/>
        <v>434144</v>
      </c>
      <c r="E22" s="6">
        <f t="shared" si="118"/>
        <v>441796</v>
      </c>
      <c r="F22" s="1">
        <v>460926</v>
      </c>
      <c r="G22" s="1">
        <f t="shared" si="2"/>
        <v>3826</v>
      </c>
      <c r="H22" s="1">
        <v>1.31</v>
      </c>
      <c r="I22" s="1">
        <v>1.28</v>
      </c>
      <c r="J22" s="1">
        <v>1.22</v>
      </c>
      <c r="K22">
        <v>186457</v>
      </c>
      <c r="L22">
        <f t="shared" si="24"/>
        <v>0.44114501757889207</v>
      </c>
      <c r="M22" s="1">
        <v>175311</v>
      </c>
      <c r="N22">
        <f t="shared" si="25"/>
        <v>0.38034521810442457</v>
      </c>
      <c r="O22">
        <f t="shared" si="26"/>
        <v>-0.13782270467011312</v>
      </c>
      <c r="P22">
        <f t="shared" si="27"/>
        <v>0.1582539154546147</v>
      </c>
      <c r="Q22">
        <f t="shared" si="28"/>
        <v>0.16154530680606866</v>
      </c>
      <c r="R22">
        <f t="shared" si="29"/>
        <v>801.17182113340505</v>
      </c>
      <c r="S22">
        <f t="shared" si="30"/>
        <v>778.32329904005292</v>
      </c>
      <c r="T22">
        <f t="shared" si="31"/>
        <v>1015.1080967596164</v>
      </c>
      <c r="U22">
        <v>92297.113769999996</v>
      </c>
      <c r="V22">
        <f t="shared" si="32"/>
        <v>1.0998264791781218E-2</v>
      </c>
      <c r="W22">
        <f t="shared" si="33"/>
        <v>781.0483429444206</v>
      </c>
      <c r="X22">
        <v>79429.064259999999</v>
      </c>
      <c r="Y22">
        <f t="shared" si="34"/>
        <v>9.8332814344604062E-3</v>
      </c>
      <c r="Z22" s="1">
        <v>23594</v>
      </c>
      <c r="AA22" s="1">
        <f t="shared" si="35"/>
        <v>5.5821854608603484E-2</v>
      </c>
      <c r="AB22" s="1">
        <v>228593</v>
      </c>
      <c r="AC22" s="1">
        <f t="shared" si="3"/>
        <v>0.54083602655524698</v>
      </c>
      <c r="AD22" s="1">
        <v>61.278341249999997</v>
      </c>
      <c r="AE22" s="1">
        <v>29199</v>
      </c>
      <c r="AF22">
        <f t="shared" si="114"/>
        <v>1.2375603967110282</v>
      </c>
      <c r="AG22">
        <f t="shared" si="36"/>
        <v>0.12773357014431763</v>
      </c>
      <c r="AH22">
        <f t="shared" si="116"/>
        <v>8.8258920774107446E-3</v>
      </c>
      <c r="AI22">
        <v>108603</v>
      </c>
      <c r="AJ22">
        <f t="shared" si="37"/>
        <v>142269.93</v>
      </c>
      <c r="AK22">
        <f t="shared" si="4"/>
        <v>0.32770216794427653</v>
      </c>
      <c r="AL22">
        <f t="shared" si="38"/>
        <v>40.567501634999999</v>
      </c>
      <c r="AM22">
        <f t="shared" si="39"/>
        <v>8.0779479814341928E-3</v>
      </c>
      <c r="AN22">
        <v>145.04</v>
      </c>
      <c r="AO22">
        <f t="shared" si="40"/>
        <v>145040</v>
      </c>
      <c r="AP22">
        <f t="shared" si="41"/>
        <v>185651.20000000001</v>
      </c>
      <c r="AQ22">
        <f t="shared" si="5"/>
        <v>0.42021928672962183</v>
      </c>
      <c r="AR22">
        <f t="shared" si="42"/>
        <v>51.759606732800002</v>
      </c>
      <c r="AS22">
        <f t="shared" si="43"/>
        <v>8.1186723249063904E-3</v>
      </c>
      <c r="AT22" s="1">
        <v>26526</v>
      </c>
      <c r="AU22" s="1">
        <f t="shared" si="44"/>
        <v>5.7549368011351063E-2</v>
      </c>
      <c r="AV22" s="1">
        <f t="shared" si="45"/>
        <v>3.094690090216614E-2</v>
      </c>
      <c r="AW22" s="1">
        <v>197234</v>
      </c>
      <c r="AX22" s="1">
        <f t="shared" si="46"/>
        <v>240625.47999999998</v>
      </c>
      <c r="AY22" s="1">
        <f t="shared" si="6"/>
        <v>0.52204796431531308</v>
      </c>
      <c r="AZ22" s="1">
        <f t="shared" si="47"/>
        <v>-3.4738925140769407E-2</v>
      </c>
      <c r="BA22" s="1">
        <f t="shared" si="48"/>
        <v>60.4858519474</v>
      </c>
      <c r="BB22" s="1">
        <v>26157</v>
      </c>
      <c r="BC22" s="1">
        <f t="shared" si="49"/>
        <v>31911.54</v>
      </c>
      <c r="BD22" s="1">
        <f t="shared" si="50"/>
        <v>1.2030287265324588</v>
      </c>
      <c r="BE22" s="1">
        <f t="shared" si="51"/>
        <v>0.13261912246367261</v>
      </c>
      <c r="BF22" s="1">
        <f t="shared" si="52"/>
        <v>8.630910328737685E-3</v>
      </c>
      <c r="BG22" s="1">
        <v>9866</v>
      </c>
      <c r="BH22" s="1">
        <f t="shared" si="53"/>
        <v>2.3342308110896073E-2</v>
      </c>
      <c r="BI22" s="1">
        <v>461081.82500000001</v>
      </c>
      <c r="BJ22" s="1">
        <f t="shared" si="7"/>
        <v>1.0908893192260556</v>
      </c>
      <c r="BK22" s="1">
        <v>101.2013381</v>
      </c>
      <c r="BL22" s="1">
        <v>18597.116000000002</v>
      </c>
      <c r="BM22">
        <f t="shared" si="8"/>
        <v>1.8849702006892359</v>
      </c>
      <c r="BN22">
        <f t="shared" si="9"/>
        <v>4.0333656612901628E-2</v>
      </c>
      <c r="BO22">
        <f t="shared" si="54"/>
        <v>1.0779396198774722E-2</v>
      </c>
      <c r="BP22">
        <v>190334</v>
      </c>
      <c r="BQ22">
        <f t="shared" si="55"/>
        <v>249337.54</v>
      </c>
      <c r="BR22">
        <f t="shared" si="10"/>
        <v>0.57431990307363456</v>
      </c>
      <c r="BS22">
        <f t="shared" si="56"/>
        <v>59.525235619600004</v>
      </c>
      <c r="BT22">
        <f t="shared" si="57"/>
        <v>9.6483432126814959E-3</v>
      </c>
      <c r="BU22">
        <v>307.67</v>
      </c>
      <c r="BV22">
        <f t="shared" si="11"/>
        <v>307670</v>
      </c>
      <c r="BW22">
        <f t="shared" si="58"/>
        <v>393817.60000000003</v>
      </c>
      <c r="BX22">
        <f t="shared" si="12"/>
        <v>0.89140146130793407</v>
      </c>
      <c r="BY22">
        <f t="shared" si="59"/>
        <v>76.247206297600002</v>
      </c>
      <c r="BZ22">
        <f t="shared" si="60"/>
        <v>1.1690939309024786E-2</v>
      </c>
      <c r="CA22" s="1">
        <v>10161</v>
      </c>
      <c r="CB22" s="1">
        <f t="shared" si="61"/>
        <v>2.2044753387745537E-2</v>
      </c>
      <c r="CC22" s="1">
        <f t="shared" si="62"/>
        <v>-5.5588107096608982E-2</v>
      </c>
      <c r="CD22" s="1">
        <v>377524</v>
      </c>
      <c r="CE22" s="1">
        <f t="shared" si="63"/>
        <v>460579.27999999997</v>
      </c>
      <c r="CF22">
        <f t="shared" si="13"/>
        <v>0.99924777513093199</v>
      </c>
      <c r="CG22">
        <f t="shared" si="64"/>
        <v>-8.4006271287118087E-2</v>
      </c>
      <c r="CH22">
        <f t="shared" si="65"/>
        <v>90.917938902799989</v>
      </c>
      <c r="CI22" s="1">
        <v>17408</v>
      </c>
      <c r="CJ22" s="1">
        <f t="shared" si="66"/>
        <v>21237.759999999998</v>
      </c>
      <c r="CK22">
        <f t="shared" si="67"/>
        <v>2.090124987698061</v>
      </c>
      <c r="CL22">
        <f t="shared" si="68"/>
        <v>4.6110975726046555E-2</v>
      </c>
      <c r="CM22">
        <f t="shared" si="69"/>
        <v>1.0990655828650315E-2</v>
      </c>
      <c r="CN22" s="1">
        <v>51117</v>
      </c>
      <c r="CO22" s="1">
        <f t="shared" si="70"/>
        <v>0.12093946520420379</v>
      </c>
      <c r="CP22" s="1">
        <v>428362004</v>
      </c>
      <c r="CQ22" s="1">
        <f t="shared" si="14"/>
        <v>1013.4763714138351</v>
      </c>
      <c r="CR22" s="1">
        <v>108123.0123</v>
      </c>
      <c r="CS22" s="1">
        <v>67712913</v>
      </c>
      <c r="CT22">
        <f t="shared" si="71"/>
        <v>1324.6652385703387</v>
      </c>
      <c r="CU22">
        <f t="shared" si="72"/>
        <v>0.15807404103936351</v>
      </c>
      <c r="CV22">
        <f t="shared" si="73"/>
        <v>9.3733641882065375E-3</v>
      </c>
      <c r="CW22" s="1">
        <v>38838</v>
      </c>
      <c r="CX22" s="1">
        <f t="shared" si="74"/>
        <v>8.426081410031111E-2</v>
      </c>
      <c r="CY22" s="1">
        <f t="shared" si="75"/>
        <v>-0.30328107571801755</v>
      </c>
      <c r="CZ22" s="1">
        <v>294511708</v>
      </c>
      <c r="DA22" s="1">
        <f t="shared" si="15"/>
        <v>359304283.75999999</v>
      </c>
      <c r="DB22" s="1">
        <f t="shared" si="16"/>
        <v>779.52704720497434</v>
      </c>
      <c r="DC22" s="1">
        <f t="shared" si="76"/>
        <v>-0.23083845939347675</v>
      </c>
      <c r="DD22" s="1">
        <f t="shared" si="77"/>
        <v>93954.54819500001</v>
      </c>
      <c r="DE22" s="1">
        <v>48139113</v>
      </c>
      <c r="DF22" s="1">
        <f t="shared" si="78"/>
        <v>58729717.859999999</v>
      </c>
      <c r="DG22">
        <f t="shared" si="79"/>
        <v>1512.1715294299397</v>
      </c>
      <c r="DH22">
        <f t="shared" si="80"/>
        <v>0.16345398737085182</v>
      </c>
      <c r="DI22">
        <f t="shared" si="81"/>
        <v>8.2968527035762862E-3</v>
      </c>
      <c r="DJ22" s="1">
        <v>2124611</v>
      </c>
      <c r="DK22">
        <f t="shared" si="17"/>
        <v>5.0266901051894406</v>
      </c>
      <c r="DL22">
        <v>1889.3069949999999</v>
      </c>
      <c r="DM22" s="1">
        <v>474627</v>
      </c>
      <c r="DN22" s="3">
        <f t="shared" si="82"/>
        <v>2.6605999546354515E-3</v>
      </c>
      <c r="DO22" s="1">
        <v>3174616</v>
      </c>
      <c r="DP22" s="1">
        <f t="shared" si="83"/>
        <v>3873031.52</v>
      </c>
      <c r="DQ22" s="3">
        <f t="shared" si="18"/>
        <v>8.4027187010496256</v>
      </c>
      <c r="DR22" s="3">
        <f t="shared" si="84"/>
        <v>1905.8896083399998</v>
      </c>
      <c r="DS22" s="3">
        <f t="shared" si="85"/>
        <v>411742.0885278405</v>
      </c>
      <c r="DT22" s="3">
        <f t="shared" si="86"/>
        <v>4.4088171026695835E-3</v>
      </c>
      <c r="DU22" s="3">
        <f t="shared" si="87"/>
        <v>0.86750667055991437</v>
      </c>
      <c r="DV22" s="3">
        <f t="shared" si="88"/>
        <v>473.8754087186515</v>
      </c>
      <c r="DW22" s="3">
        <f t="shared" si="89"/>
        <v>0.11138755889285895</v>
      </c>
      <c r="DX22" s="3">
        <f t="shared" si="90"/>
        <v>431176289.82499999</v>
      </c>
      <c r="DY22" s="3">
        <f t="shared" si="91"/>
        <v>1020.1347868648057</v>
      </c>
      <c r="DZ22" s="3">
        <f t="shared" si="92"/>
        <v>430486615</v>
      </c>
      <c r="EA22" s="3">
        <f t="shared" si="93"/>
        <v>391607.47</v>
      </c>
      <c r="EB22" s="3">
        <f t="shared" si="94"/>
        <v>0.9020220710179111</v>
      </c>
      <c r="EC22" s="3">
        <f t="shared" si="95"/>
        <v>579468.80000000005</v>
      </c>
      <c r="ED22" s="3">
        <f t="shared" si="96"/>
        <v>1.3116207480375559</v>
      </c>
      <c r="EE22" s="9">
        <f t="shared" si="97"/>
        <v>363878520.03999996</v>
      </c>
      <c r="EF22" s="13">
        <f t="shared" si="98"/>
        <v>789.45106164547008</v>
      </c>
      <c r="EG22" s="14">
        <f t="shared" si="99"/>
        <v>-0.2261306331179031</v>
      </c>
      <c r="EH22" s="9">
        <f t="shared" si="100"/>
        <v>363177315.27999997</v>
      </c>
      <c r="EI22" s="10">
        <v>806937</v>
      </c>
      <c r="EJ22" s="10">
        <f t="shared" si="19"/>
        <v>1057087.47</v>
      </c>
      <c r="EK22" s="10">
        <f t="shared" si="101"/>
        <v>2.4348775291147637</v>
      </c>
      <c r="EL22" s="10">
        <v>1996000</v>
      </c>
      <c r="EM22" s="10">
        <f t="shared" si="20"/>
        <v>2554880</v>
      </c>
      <c r="EN22" s="10">
        <f t="shared" si="102"/>
        <v>5.7829405426939129</v>
      </c>
      <c r="EO22" s="11">
        <v>4587490</v>
      </c>
      <c r="EP22" s="11">
        <f t="shared" si="21"/>
        <v>5596737.7999999998</v>
      </c>
      <c r="EQ22" s="11">
        <f t="shared" si="103"/>
        <v>12.142378169163813</v>
      </c>
      <c r="ER22" s="10">
        <f t="shared" si="104"/>
        <v>20.360196240972488</v>
      </c>
      <c r="ES22" s="10">
        <f t="shared" si="115"/>
        <v>2.190606916958918</v>
      </c>
      <c r="ET22" s="12">
        <v>319547</v>
      </c>
      <c r="EU22" s="12">
        <f t="shared" si="22"/>
        <v>418606.57</v>
      </c>
      <c r="EV22" s="12">
        <f t="shared" si="105"/>
        <v>0.9642113446229823</v>
      </c>
      <c r="EW22" s="10">
        <v>165000</v>
      </c>
      <c r="EX22" s="10">
        <f t="shared" si="23"/>
        <v>211200</v>
      </c>
      <c r="EY22" s="10">
        <f t="shared" si="106"/>
        <v>0.47804869215656093</v>
      </c>
      <c r="EZ22" s="3">
        <f t="shared" si="107"/>
        <v>361450.14129822148</v>
      </c>
      <c r="FA22" s="3">
        <f t="shared" si="108"/>
        <v>0.78418258310058764</v>
      </c>
      <c r="FB22" s="3">
        <f t="shared" si="109"/>
        <v>2.2264426198801308</v>
      </c>
      <c r="FC22" s="1">
        <f t="shared" si="110"/>
        <v>4.8723000000000001</v>
      </c>
      <c r="FD22">
        <f>48.8/10</f>
        <v>4.88</v>
      </c>
      <c r="FE22">
        <f>5.8</f>
        <v>5.8</v>
      </c>
      <c r="FF22" s="7">
        <f t="shared" si="111"/>
        <v>8.1</v>
      </c>
      <c r="FG22" s="1">
        <f t="shared" si="112"/>
        <v>0.45999999999999996</v>
      </c>
      <c r="FH22">
        <v>2.63E-2</v>
      </c>
      <c r="FI22">
        <v>3.4000000000000002E-2</v>
      </c>
      <c r="FJ22">
        <v>4.41E-2</v>
      </c>
      <c r="FK22">
        <v>4.0899999999999999E-2</v>
      </c>
      <c r="FL22" s="1">
        <f t="shared" si="113"/>
        <v>2.5666666666666672E-3</v>
      </c>
    </row>
    <row r="23" spans="1:168">
      <c r="A23" t="s">
        <v>115</v>
      </c>
      <c r="B23" s="1" t="s">
        <v>38</v>
      </c>
      <c r="C23" s="1">
        <v>160033</v>
      </c>
      <c r="D23" s="6">
        <f t="shared" si="117"/>
        <v>160570</v>
      </c>
      <c r="E23" s="6">
        <f t="shared" si="118"/>
        <v>160928</v>
      </c>
      <c r="F23" s="1">
        <v>161823</v>
      </c>
      <c r="G23" s="1">
        <f t="shared" si="2"/>
        <v>179</v>
      </c>
      <c r="H23" s="1">
        <v>1.31</v>
      </c>
      <c r="I23" s="1">
        <v>1.28</v>
      </c>
      <c r="J23" s="1">
        <v>1.22</v>
      </c>
      <c r="K23">
        <v>65854</v>
      </c>
      <c r="L23">
        <f t="shared" si="24"/>
        <v>0.411502627583061</v>
      </c>
      <c r="M23" s="1">
        <v>58812</v>
      </c>
      <c r="N23">
        <f t="shared" si="25"/>
        <v>0.36343412246714002</v>
      </c>
      <c r="O23">
        <f t="shared" si="26"/>
        <v>-0.11681214625104294</v>
      </c>
      <c r="P23">
        <f t="shared" si="27"/>
        <v>0.22661145832710949</v>
      </c>
      <c r="Q23">
        <f t="shared" si="28"/>
        <v>0.18480135061047875</v>
      </c>
      <c r="R23">
        <f t="shared" si="29"/>
        <v>1107.1966439754763</v>
      </c>
      <c r="S23">
        <f t="shared" si="30"/>
        <v>1230.3593718097054</v>
      </c>
      <c r="T23">
        <f t="shared" si="31"/>
        <v>1197.9044822317896</v>
      </c>
      <c r="U23">
        <v>92297.113769999996</v>
      </c>
      <c r="V23">
        <f t="shared" si="32"/>
        <v>1.2978785937086944E-2</v>
      </c>
      <c r="W23">
        <f t="shared" si="33"/>
        <v>1190.6389395821361</v>
      </c>
      <c r="X23">
        <v>79429.064259999999</v>
      </c>
      <c r="Y23">
        <f t="shared" si="34"/>
        <v>1.498996558343864E-2</v>
      </c>
      <c r="Z23" s="1">
        <v>6611</v>
      </c>
      <c r="AA23" s="1">
        <f t="shared" si="35"/>
        <v>4.1310229765110944E-2</v>
      </c>
      <c r="AB23" s="1">
        <v>81137</v>
      </c>
      <c r="AC23" s="1">
        <f t="shared" si="3"/>
        <v>0.50700168090331366</v>
      </c>
      <c r="AD23" s="1">
        <v>61.278341249999997</v>
      </c>
      <c r="AE23" s="1">
        <v>9545</v>
      </c>
      <c r="AF23">
        <f t="shared" si="114"/>
        <v>1.443805778248374</v>
      </c>
      <c r="AG23">
        <f t="shared" si="36"/>
        <v>0.11764053391177884</v>
      </c>
      <c r="AH23">
        <f t="shared" si="116"/>
        <v>8.2737500813684917E-3</v>
      </c>
      <c r="AI23">
        <v>31512</v>
      </c>
      <c r="AJ23">
        <f t="shared" si="37"/>
        <v>41280.720000000001</v>
      </c>
      <c r="AK23">
        <f t="shared" si="4"/>
        <v>0.25708862178489134</v>
      </c>
      <c r="AL23">
        <f t="shared" si="38"/>
        <v>40.567501634999999</v>
      </c>
      <c r="AM23">
        <f t="shared" si="39"/>
        <v>6.3373047741023735E-3</v>
      </c>
      <c r="AN23">
        <v>44.79</v>
      </c>
      <c r="AO23">
        <f t="shared" si="40"/>
        <v>44790</v>
      </c>
      <c r="AP23">
        <f t="shared" si="41"/>
        <v>57331.200000000004</v>
      </c>
      <c r="AQ23">
        <f t="shared" si="5"/>
        <v>0.35625372837542257</v>
      </c>
      <c r="AR23">
        <f t="shared" si="42"/>
        <v>51.759606732800002</v>
      </c>
      <c r="AS23">
        <f t="shared" si="43"/>
        <v>6.8828523024628196E-3</v>
      </c>
      <c r="AT23" s="1">
        <v>6810</v>
      </c>
      <c r="AU23" s="1">
        <f t="shared" si="44"/>
        <v>4.2083016629280143E-2</v>
      </c>
      <c r="AV23" s="1">
        <f t="shared" si="45"/>
        <v>1.8706912756555654E-2</v>
      </c>
      <c r="AW23" s="1">
        <v>60154</v>
      </c>
      <c r="AX23" s="1">
        <f t="shared" si="46"/>
        <v>73387.88</v>
      </c>
      <c r="AY23" s="1">
        <f t="shared" si="6"/>
        <v>0.45350710344017847</v>
      </c>
      <c r="AZ23" s="1">
        <f t="shared" si="47"/>
        <v>-0.10551163729442688</v>
      </c>
      <c r="BA23" s="1">
        <f t="shared" si="48"/>
        <v>60.4858519474</v>
      </c>
      <c r="BB23" s="1">
        <v>7245</v>
      </c>
      <c r="BC23" s="1">
        <f t="shared" si="49"/>
        <v>8838.9</v>
      </c>
      <c r="BD23" s="1">
        <f t="shared" si="50"/>
        <v>1.2979295154185022</v>
      </c>
      <c r="BE23" s="1">
        <f t="shared" si="51"/>
        <v>0.12044086843767662</v>
      </c>
      <c r="BF23" s="1">
        <f t="shared" si="52"/>
        <v>7.4977385428010423E-3</v>
      </c>
      <c r="BG23" s="1">
        <v>1461</v>
      </c>
      <c r="BH23" s="1">
        <f t="shared" si="53"/>
        <v>9.129367068042217E-3</v>
      </c>
      <c r="BI23" s="1">
        <v>42741.004999999997</v>
      </c>
      <c r="BJ23" s="1">
        <f t="shared" si="7"/>
        <v>0.26707619678441319</v>
      </c>
      <c r="BK23" s="1">
        <v>101.2013381</v>
      </c>
      <c r="BL23" s="1">
        <v>2925.931</v>
      </c>
      <c r="BM23">
        <f t="shared" si="8"/>
        <v>2.0026906228610541</v>
      </c>
      <c r="BN23">
        <f t="shared" si="9"/>
        <v>6.8457234452020968E-2</v>
      </c>
      <c r="BO23">
        <f t="shared" si="54"/>
        <v>2.6390579591003766E-3</v>
      </c>
      <c r="BP23">
        <v>15032</v>
      </c>
      <c r="BQ23">
        <f t="shared" si="55"/>
        <v>19691.920000000002</v>
      </c>
      <c r="BR23">
        <f t="shared" si="10"/>
        <v>0.12263760353739803</v>
      </c>
      <c r="BS23">
        <f t="shared" si="56"/>
        <v>59.525235619600004</v>
      </c>
      <c r="BT23">
        <f t="shared" si="57"/>
        <v>2.0602623788189907E-3</v>
      </c>
      <c r="BU23">
        <v>30.99</v>
      </c>
      <c r="BV23">
        <f t="shared" si="11"/>
        <v>30990</v>
      </c>
      <c r="BW23">
        <f t="shared" si="58"/>
        <v>39667.200000000004</v>
      </c>
      <c r="BX23">
        <f t="shared" si="12"/>
        <v>0.2464903559355737</v>
      </c>
      <c r="BY23">
        <f t="shared" si="59"/>
        <v>76.247206297600002</v>
      </c>
      <c r="BZ23">
        <f t="shared" si="60"/>
        <v>3.2327788505915707E-3</v>
      </c>
      <c r="CA23" s="1">
        <v>1736</v>
      </c>
      <c r="CB23" s="1">
        <f t="shared" si="61"/>
        <v>1.0727770465261428E-2</v>
      </c>
      <c r="CC23" s="1">
        <f t="shared" si="62"/>
        <v>0.17508370353674327</v>
      </c>
      <c r="CD23" s="1">
        <v>50171</v>
      </c>
      <c r="CE23" s="1">
        <f t="shared" si="63"/>
        <v>61208.619999999995</v>
      </c>
      <c r="CF23">
        <f t="shared" si="13"/>
        <v>0.37824425452500571</v>
      </c>
      <c r="CG23">
        <f t="shared" si="64"/>
        <v>0.4162409794622341</v>
      </c>
      <c r="CH23">
        <f t="shared" si="65"/>
        <v>90.917938902799989</v>
      </c>
      <c r="CI23" s="1">
        <v>3046</v>
      </c>
      <c r="CJ23" s="1">
        <f t="shared" si="66"/>
        <v>3716.12</v>
      </c>
      <c r="CK23">
        <f t="shared" si="67"/>
        <v>2.1406221198156681</v>
      </c>
      <c r="CL23">
        <f t="shared" si="68"/>
        <v>6.071236371609097E-2</v>
      </c>
      <c r="CM23">
        <f t="shared" si="69"/>
        <v>4.1602818881473448E-3</v>
      </c>
      <c r="CN23" s="1">
        <v>31400</v>
      </c>
      <c r="CO23" s="1">
        <f t="shared" si="70"/>
        <v>0.19620953178406952</v>
      </c>
      <c r="CP23" s="1">
        <v>191580370</v>
      </c>
      <c r="CQ23" s="1">
        <f t="shared" si="14"/>
        <v>1197.130404354102</v>
      </c>
      <c r="CR23" s="1">
        <v>108123.0123</v>
      </c>
      <c r="CS23" s="1">
        <v>43690795</v>
      </c>
      <c r="CT23">
        <f t="shared" si="71"/>
        <v>1391.4265923566879</v>
      </c>
      <c r="CU23">
        <f t="shared" si="72"/>
        <v>0.2280546540337092</v>
      </c>
      <c r="CV23">
        <f t="shared" si="73"/>
        <v>1.1071929822233616E-2</v>
      </c>
      <c r="CW23" s="1">
        <v>20840</v>
      </c>
      <c r="CX23" s="1">
        <f t="shared" si="74"/>
        <v>0.12878268231339179</v>
      </c>
      <c r="CY23" s="1">
        <f t="shared" si="75"/>
        <v>-0.34364716564780157</v>
      </c>
      <c r="CZ23" s="1">
        <v>157818171</v>
      </c>
      <c r="DA23" s="1">
        <f t="shared" si="15"/>
        <v>192538168.62</v>
      </c>
      <c r="DB23" s="1">
        <f t="shared" si="16"/>
        <v>1189.8071882241709</v>
      </c>
      <c r="DC23" s="1">
        <f t="shared" si="76"/>
        <v>-6.117308610069306E-3</v>
      </c>
      <c r="DD23" s="1">
        <f t="shared" si="77"/>
        <v>93954.54819500001</v>
      </c>
      <c r="DE23" s="1">
        <v>29625234</v>
      </c>
      <c r="DF23" s="1">
        <f t="shared" si="78"/>
        <v>36142785.479999997</v>
      </c>
      <c r="DG23">
        <f t="shared" si="79"/>
        <v>1734.2987274472168</v>
      </c>
      <c r="DH23">
        <f t="shared" si="80"/>
        <v>0.18771750941151127</v>
      </c>
      <c r="DI23">
        <f t="shared" si="81"/>
        <v>1.266364652996638E-2</v>
      </c>
      <c r="DJ23" s="1">
        <v>2564291</v>
      </c>
      <c r="DK23">
        <f t="shared" si="17"/>
        <v>16.02351390025807</v>
      </c>
      <c r="DL23">
        <v>1889.3069949999999</v>
      </c>
      <c r="DM23" s="1">
        <v>320211</v>
      </c>
      <c r="DN23" s="3">
        <f t="shared" si="82"/>
        <v>8.4811594635831374E-3</v>
      </c>
      <c r="DO23" s="1">
        <v>2435727</v>
      </c>
      <c r="DP23" s="1">
        <f t="shared" si="83"/>
        <v>2971586.94</v>
      </c>
      <c r="DQ23" s="3">
        <f t="shared" si="18"/>
        <v>18.363192747631672</v>
      </c>
      <c r="DR23" s="3">
        <f t="shared" si="84"/>
        <v>1905.8896083399998</v>
      </c>
      <c r="DS23" s="3">
        <f t="shared" si="85"/>
        <v>264907.83904168947</v>
      </c>
      <c r="DT23" s="3">
        <f t="shared" si="86"/>
        <v>9.6349718615789757E-3</v>
      </c>
      <c r="DU23" s="3">
        <f t="shared" si="87"/>
        <v>0.82729150167136511</v>
      </c>
      <c r="DV23" s="3">
        <f t="shared" si="88"/>
        <v>522.10172797337475</v>
      </c>
      <c r="DW23" s="3">
        <f t="shared" si="89"/>
        <v>0.13050386066046465</v>
      </c>
      <c r="DX23" s="3">
        <f t="shared" si="90"/>
        <v>194268539.005</v>
      </c>
      <c r="DY23" s="3">
        <f t="shared" si="91"/>
        <v>1213.9279961320478</v>
      </c>
      <c r="DZ23" s="3">
        <f t="shared" si="92"/>
        <v>194144661</v>
      </c>
      <c r="EA23" s="3">
        <f t="shared" si="93"/>
        <v>60972.639999999999</v>
      </c>
      <c r="EB23" s="3">
        <f t="shared" si="94"/>
        <v>0.37972622532228933</v>
      </c>
      <c r="EC23" s="3">
        <f t="shared" si="95"/>
        <v>96998.400000000009</v>
      </c>
      <c r="ED23" s="3">
        <f t="shared" si="96"/>
        <v>0.60274408431099624</v>
      </c>
      <c r="EE23" s="9">
        <f t="shared" si="97"/>
        <v>195644352.06</v>
      </c>
      <c r="EF23" s="13">
        <f t="shared" si="98"/>
        <v>1209.0021323297676</v>
      </c>
      <c r="EG23" s="14">
        <f t="shared" si="99"/>
        <v>-4.0577891093833843E-3</v>
      </c>
      <c r="EH23" s="9">
        <f t="shared" si="100"/>
        <v>195509755.56</v>
      </c>
      <c r="EI23" s="10">
        <v>274424</v>
      </c>
      <c r="EJ23" s="10">
        <f t="shared" si="19"/>
        <v>359495.44</v>
      </c>
      <c r="EK23" s="10">
        <f t="shared" si="101"/>
        <v>2.238870523759108</v>
      </c>
      <c r="EL23" s="10">
        <v>786000</v>
      </c>
      <c r="EM23" s="10">
        <f t="shared" si="20"/>
        <v>1006080</v>
      </c>
      <c r="EN23" s="10">
        <f t="shared" si="102"/>
        <v>6.2517399085305225</v>
      </c>
      <c r="EO23" s="11">
        <v>1572357</v>
      </c>
      <c r="EP23" s="11">
        <f t="shared" si="21"/>
        <v>1918275.54</v>
      </c>
      <c r="EQ23" s="11">
        <f t="shared" si="103"/>
        <v>11.854158803136761</v>
      </c>
      <c r="ER23" s="10">
        <f t="shared" si="104"/>
        <v>20.344769235426391</v>
      </c>
      <c r="ES23" s="10">
        <f t="shared" si="115"/>
        <v>1.9066829079198473</v>
      </c>
      <c r="ET23" s="12">
        <v>417457</v>
      </c>
      <c r="EU23" s="12">
        <f t="shared" si="22"/>
        <v>546868.67000000004</v>
      </c>
      <c r="EV23" s="12">
        <f t="shared" si="105"/>
        <v>3.4057960391106685</v>
      </c>
      <c r="EW23" s="10">
        <v>171000</v>
      </c>
      <c r="EX23" s="10">
        <f t="shared" si="23"/>
        <v>218880</v>
      </c>
      <c r="EY23" s="10">
        <f t="shared" si="106"/>
        <v>1.3601113541459535</v>
      </c>
      <c r="EZ23" s="3">
        <f t="shared" si="107"/>
        <v>326042.77725429391</v>
      </c>
      <c r="FA23" s="3">
        <f t="shared" si="108"/>
        <v>2.0148111038251293</v>
      </c>
      <c r="FB23" s="3">
        <f t="shared" si="109"/>
        <v>6.780718497081752</v>
      </c>
      <c r="FC23" s="1">
        <f t="shared" si="110"/>
        <v>2.2423000000000002</v>
      </c>
      <c r="FD23">
        <f>22.5/10</f>
        <v>2.25</v>
      </c>
      <c r="FE23">
        <f>3</f>
        <v>3</v>
      </c>
      <c r="FF23" s="7">
        <f t="shared" si="111"/>
        <v>4.875</v>
      </c>
      <c r="FG23" s="1">
        <f t="shared" si="112"/>
        <v>0.375</v>
      </c>
      <c r="FH23">
        <v>2.63E-2</v>
      </c>
      <c r="FI23">
        <v>3.4000000000000002E-2</v>
      </c>
      <c r="FJ23">
        <v>4.41E-2</v>
      </c>
      <c r="FK23">
        <v>4.0899999999999999E-2</v>
      </c>
      <c r="FL23" s="1">
        <f t="shared" si="113"/>
        <v>2.5666666666666672E-3</v>
      </c>
    </row>
    <row r="24" spans="1:168">
      <c r="A24" t="s">
        <v>115</v>
      </c>
      <c r="B24" s="1" t="s">
        <v>39</v>
      </c>
      <c r="C24" s="1">
        <v>113320</v>
      </c>
      <c r="D24" s="6">
        <f t="shared" si="117"/>
        <v>118558.9</v>
      </c>
      <c r="E24" s="6">
        <f t="shared" si="118"/>
        <v>122051.5</v>
      </c>
      <c r="F24" s="1">
        <v>130783</v>
      </c>
      <c r="G24" s="1">
        <f t="shared" si="2"/>
        <v>1746.3</v>
      </c>
      <c r="H24" s="1">
        <v>1.31</v>
      </c>
      <c r="I24" s="1">
        <v>1.28</v>
      </c>
      <c r="J24" s="1">
        <v>1.22</v>
      </c>
      <c r="K24">
        <v>46752</v>
      </c>
      <c r="L24">
        <f t="shared" si="24"/>
        <v>0.41256618425697139</v>
      </c>
      <c r="M24" s="1">
        <v>45871</v>
      </c>
      <c r="N24">
        <f t="shared" si="25"/>
        <v>0.35074130429795919</v>
      </c>
      <c r="O24">
        <f t="shared" si="26"/>
        <v>-0.14985445322029567</v>
      </c>
      <c r="P24">
        <f t="shared" si="27"/>
        <v>0.17781442505989289</v>
      </c>
      <c r="Q24">
        <f t="shared" si="28"/>
        <v>0.12413043453939301</v>
      </c>
      <c r="R24">
        <f t="shared" si="29"/>
        <v>782.84302349938389</v>
      </c>
      <c r="S24">
        <f t="shared" si="30"/>
        <v>931.38674868990654</v>
      </c>
      <c r="T24">
        <f t="shared" si="31"/>
        <v>880.2483082333215</v>
      </c>
      <c r="U24">
        <v>92297.113769999996</v>
      </c>
      <c r="V24">
        <f t="shared" si="32"/>
        <v>9.5371163005904848E-3</v>
      </c>
      <c r="W24">
        <f t="shared" si="33"/>
        <v>1245.5205682695764</v>
      </c>
      <c r="X24">
        <v>79429.064259999999</v>
      </c>
      <c r="Y24">
        <f t="shared" si="34"/>
        <v>1.5680917053139867E-2</v>
      </c>
      <c r="Z24" s="1">
        <v>4832</v>
      </c>
      <c r="AA24" s="1">
        <f t="shared" si="35"/>
        <v>4.2640310624779389E-2</v>
      </c>
      <c r="AB24" s="1">
        <v>48217</v>
      </c>
      <c r="AC24" s="1">
        <f t="shared" si="3"/>
        <v>0.42549417578538651</v>
      </c>
      <c r="AD24" s="1">
        <v>61.278341249999997</v>
      </c>
      <c r="AE24" s="1">
        <v>6118</v>
      </c>
      <c r="AF24">
        <f t="shared" si="114"/>
        <v>1.2661423841059603</v>
      </c>
      <c r="AG24">
        <f t="shared" si="36"/>
        <v>0.12688470871269469</v>
      </c>
      <c r="AH24">
        <f t="shared" si="116"/>
        <v>6.9436307691404181E-3</v>
      </c>
      <c r="AI24">
        <v>23450</v>
      </c>
      <c r="AJ24">
        <f t="shared" si="37"/>
        <v>30719.5</v>
      </c>
      <c r="AK24">
        <f t="shared" si="4"/>
        <v>0.2591074984670067</v>
      </c>
      <c r="AL24">
        <f t="shared" si="38"/>
        <v>40.567501634999999</v>
      </c>
      <c r="AM24">
        <f t="shared" si="39"/>
        <v>6.3870706359560291E-3</v>
      </c>
      <c r="AN24">
        <v>31.68</v>
      </c>
      <c r="AO24">
        <f t="shared" si="40"/>
        <v>31680</v>
      </c>
      <c r="AP24">
        <f t="shared" si="41"/>
        <v>40550.400000000001</v>
      </c>
      <c r="AQ24">
        <f t="shared" si="5"/>
        <v>0.33224007898305224</v>
      </c>
      <c r="AR24">
        <f t="shared" si="42"/>
        <v>51.759606732800002</v>
      </c>
      <c r="AS24">
        <f t="shared" si="43"/>
        <v>6.4189065558048781E-3</v>
      </c>
      <c r="AT24" s="1">
        <v>5804</v>
      </c>
      <c r="AU24" s="1">
        <f t="shared" si="44"/>
        <v>4.4378856579219014E-2</v>
      </c>
      <c r="AV24" s="1">
        <f t="shared" si="45"/>
        <v>4.0772356696419362E-2</v>
      </c>
      <c r="AW24" s="1">
        <v>47243</v>
      </c>
      <c r="AX24" s="1">
        <f t="shared" si="46"/>
        <v>57636.46</v>
      </c>
      <c r="AY24" s="1">
        <f t="shared" si="6"/>
        <v>0.44070299656683209</v>
      </c>
      <c r="AZ24" s="1">
        <f t="shared" si="47"/>
        <v>3.5743898852135428E-2</v>
      </c>
      <c r="BA24" s="1">
        <f t="shared" si="48"/>
        <v>60.4858519474</v>
      </c>
      <c r="BB24" s="1">
        <v>5647</v>
      </c>
      <c r="BC24" s="1">
        <f t="shared" si="49"/>
        <v>6889.34</v>
      </c>
      <c r="BD24" s="1">
        <f t="shared" si="50"/>
        <v>1.1869986216402482</v>
      </c>
      <c r="BE24" s="1">
        <f t="shared" si="51"/>
        <v>0.1195309358000127</v>
      </c>
      <c r="BF24" s="1">
        <f t="shared" si="52"/>
        <v>7.2860509090634674E-3</v>
      </c>
      <c r="BG24" s="1">
        <v>1975</v>
      </c>
      <c r="BH24" s="1">
        <f t="shared" si="53"/>
        <v>1.742852100247088E-2</v>
      </c>
      <c r="BI24" s="1">
        <v>61355.288999999997</v>
      </c>
      <c r="BJ24" s="1">
        <f t="shared" si="7"/>
        <v>0.54143389516413698</v>
      </c>
      <c r="BK24" s="1">
        <v>101.2013381</v>
      </c>
      <c r="BL24" s="1">
        <v>2946.866</v>
      </c>
      <c r="BM24">
        <f t="shared" si="8"/>
        <v>1.4920840506329114</v>
      </c>
      <c r="BN24">
        <f t="shared" si="9"/>
        <v>4.8029534992492663E-2</v>
      </c>
      <c r="BO24">
        <f t="shared" si="54"/>
        <v>5.3500665636370369E-3</v>
      </c>
      <c r="BP24">
        <v>30552</v>
      </c>
      <c r="BQ24">
        <f t="shared" si="55"/>
        <v>40023.120000000003</v>
      </c>
      <c r="BR24">
        <f t="shared" si="10"/>
        <v>0.33758005514558592</v>
      </c>
      <c r="BS24">
        <f t="shared" si="56"/>
        <v>59.525235619600004</v>
      </c>
      <c r="BT24">
        <f t="shared" si="57"/>
        <v>5.6712090532982321E-3</v>
      </c>
      <c r="BU24">
        <v>42.26</v>
      </c>
      <c r="BV24">
        <f t="shared" si="11"/>
        <v>42260</v>
      </c>
      <c r="BW24">
        <f t="shared" si="58"/>
        <v>54092.800000000003</v>
      </c>
      <c r="BX24">
        <f t="shared" si="12"/>
        <v>0.4431965195020135</v>
      </c>
      <c r="BY24">
        <f t="shared" si="59"/>
        <v>76.247206297600002</v>
      </c>
      <c r="BZ24">
        <f t="shared" si="60"/>
        <v>5.8126263377070615E-3</v>
      </c>
      <c r="CA24" s="1">
        <v>2287</v>
      </c>
      <c r="CB24" s="1">
        <f t="shared" si="61"/>
        <v>1.7486982253045121E-2</v>
      </c>
      <c r="CC24" s="1">
        <f t="shared" si="62"/>
        <v>3.354343754467345E-3</v>
      </c>
      <c r="CD24" s="1">
        <v>52409</v>
      </c>
      <c r="CE24" s="1">
        <f t="shared" si="63"/>
        <v>63938.979999999996</v>
      </c>
      <c r="CF24">
        <f t="shared" si="13"/>
        <v>0.48889366354954389</v>
      </c>
      <c r="CG24">
        <f t="shared" si="64"/>
        <v>-9.7039051459209796E-2</v>
      </c>
      <c r="CH24">
        <f t="shared" si="65"/>
        <v>90.917938902799989</v>
      </c>
      <c r="CI24" s="1">
        <v>3412</v>
      </c>
      <c r="CJ24" s="1">
        <f t="shared" si="66"/>
        <v>4162.6400000000003</v>
      </c>
      <c r="CK24">
        <f t="shared" si="67"/>
        <v>1.8201311762133801</v>
      </c>
      <c r="CL24">
        <f t="shared" si="68"/>
        <v>6.5103321948520296E-2</v>
      </c>
      <c r="CM24">
        <f t="shared" si="69"/>
        <v>5.3773069368875399E-3</v>
      </c>
      <c r="CN24" s="1">
        <v>15917</v>
      </c>
      <c r="CO24" s="1">
        <f t="shared" si="70"/>
        <v>0.14046064242852099</v>
      </c>
      <c r="CP24" s="1">
        <v>99640166</v>
      </c>
      <c r="CQ24" s="1">
        <f t="shared" si="14"/>
        <v>879.28138016237199</v>
      </c>
      <c r="CR24" s="1">
        <v>108123.0123</v>
      </c>
      <c r="CS24" s="1">
        <v>17780260</v>
      </c>
      <c r="CT24">
        <f t="shared" si="71"/>
        <v>1117.0610039580322</v>
      </c>
      <c r="CU24">
        <f t="shared" si="72"/>
        <v>0.17844470471877777</v>
      </c>
      <c r="CV24">
        <f t="shared" si="73"/>
        <v>8.1322316263507579E-3</v>
      </c>
      <c r="CW24" s="1">
        <v>13854</v>
      </c>
      <c r="CX24" s="1">
        <f t="shared" si="74"/>
        <v>0.10593119900904552</v>
      </c>
      <c r="CY24" s="1">
        <f t="shared" si="75"/>
        <v>-0.24583002627976133</v>
      </c>
      <c r="CZ24" s="1">
        <v>133419132</v>
      </c>
      <c r="DA24" s="1">
        <f t="shared" si="15"/>
        <v>162771341.03999999</v>
      </c>
      <c r="DB24" s="1">
        <f t="shared" si="16"/>
        <v>1244.59097160946</v>
      </c>
      <c r="DC24" s="1">
        <f t="shared" si="76"/>
        <v>0.41546380907057112</v>
      </c>
      <c r="DD24" s="1">
        <f t="shared" si="77"/>
        <v>93954.54819500001</v>
      </c>
      <c r="DE24" s="1">
        <v>16744451</v>
      </c>
      <c r="DF24" s="1">
        <f t="shared" si="78"/>
        <v>20428230.219999999</v>
      </c>
      <c r="DG24">
        <f t="shared" si="79"/>
        <v>1474.5366118088639</v>
      </c>
      <c r="DH24">
        <f t="shared" si="80"/>
        <v>0.12550262281724334</v>
      </c>
      <c r="DI24">
        <f t="shared" si="81"/>
        <v>1.3246734676711409E-2</v>
      </c>
      <c r="DJ24" s="1">
        <v>1529052</v>
      </c>
      <c r="DK24">
        <f t="shared" si="17"/>
        <v>13.493222732086128</v>
      </c>
      <c r="DL24">
        <v>1889.3069949999999</v>
      </c>
      <c r="DM24" s="1">
        <v>219505</v>
      </c>
      <c r="DN24" s="3">
        <f t="shared" si="82"/>
        <v>7.141889998711474E-3</v>
      </c>
      <c r="DO24" s="1">
        <v>1448197</v>
      </c>
      <c r="DP24" s="1">
        <f t="shared" si="83"/>
        <v>1766800.3399999999</v>
      </c>
      <c r="DQ24" s="3">
        <f t="shared" si="18"/>
        <v>13.509403668672533</v>
      </c>
      <c r="DR24" s="3">
        <f t="shared" si="84"/>
        <v>1905.8896083399998</v>
      </c>
      <c r="DS24" s="3">
        <f t="shared" si="85"/>
        <v>252203.19900312286</v>
      </c>
      <c r="DT24" s="3">
        <f t="shared" si="86"/>
        <v>7.0882403731866786E-3</v>
      </c>
      <c r="DU24" s="3">
        <f t="shared" si="87"/>
        <v>1.1489633448127508</v>
      </c>
      <c r="DV24" s="3">
        <f t="shared" si="88"/>
        <v>432.89382866658138</v>
      </c>
      <c r="DW24" s="3">
        <f t="shared" si="89"/>
        <v>0.11058263816495691</v>
      </c>
      <c r="DX24" s="3">
        <f t="shared" si="90"/>
        <v>101278790.289</v>
      </c>
      <c r="DY24" s="3">
        <f t="shared" si="91"/>
        <v>893.74153096540772</v>
      </c>
      <c r="DZ24" s="3">
        <f t="shared" si="92"/>
        <v>101169218</v>
      </c>
      <c r="EA24" s="3">
        <f t="shared" si="93"/>
        <v>70742.62</v>
      </c>
      <c r="EB24" s="3">
        <f t="shared" si="94"/>
        <v>0.59668755361259251</v>
      </c>
      <c r="EC24" s="3">
        <f t="shared" si="95"/>
        <v>94643.200000000012</v>
      </c>
      <c r="ED24" s="3">
        <f t="shared" si="96"/>
        <v>0.77543659848506585</v>
      </c>
      <c r="EE24" s="9">
        <f t="shared" si="97"/>
        <v>164659716.81999999</v>
      </c>
      <c r="EF24" s="13">
        <f t="shared" si="98"/>
        <v>1259.0299719382488</v>
      </c>
      <c r="EG24" s="14">
        <f t="shared" si="99"/>
        <v>0.40871821249960416</v>
      </c>
      <c r="EH24" s="9">
        <f t="shared" si="100"/>
        <v>164538141.38</v>
      </c>
      <c r="EI24" s="10">
        <v>260224</v>
      </c>
      <c r="EJ24" s="10">
        <f t="shared" si="19"/>
        <v>340893.44</v>
      </c>
      <c r="EK24" s="10">
        <f t="shared" si="101"/>
        <v>2.8753087284041943</v>
      </c>
      <c r="EL24" s="10">
        <v>711000</v>
      </c>
      <c r="EM24" s="10">
        <f t="shared" si="20"/>
        <v>910080</v>
      </c>
      <c r="EN24" s="10">
        <f t="shared" si="102"/>
        <v>7.456524499903729</v>
      </c>
      <c r="EO24" s="11">
        <v>1802498</v>
      </c>
      <c r="EP24" s="11">
        <f t="shared" si="21"/>
        <v>2199047.56</v>
      </c>
      <c r="EQ24" s="11">
        <f t="shared" si="103"/>
        <v>16.81447558168875</v>
      </c>
      <c r="ER24" s="10">
        <f t="shared" si="104"/>
        <v>27.146308809996675</v>
      </c>
      <c r="ES24" s="10">
        <f t="shared" si="115"/>
        <v>2.4163233561884669</v>
      </c>
      <c r="ET24" s="12">
        <v>1656062</v>
      </c>
      <c r="EU24" s="12">
        <f t="shared" si="22"/>
        <v>2169441.2200000002</v>
      </c>
      <c r="EV24" s="12">
        <f t="shared" si="105"/>
        <v>18.298425677026358</v>
      </c>
      <c r="EW24" s="10">
        <v>108000</v>
      </c>
      <c r="EX24" s="10">
        <f t="shared" si="23"/>
        <v>138240</v>
      </c>
      <c r="EY24" s="10">
        <f t="shared" si="106"/>
        <v>1.132636632896769</v>
      </c>
      <c r="EZ24" s="3">
        <f t="shared" si="107"/>
        <v>260962.92246835443</v>
      </c>
      <c r="FA24" s="3">
        <f t="shared" si="108"/>
        <v>1.9953887161814183</v>
      </c>
      <c r="FB24" s="3">
        <f t="shared" si="109"/>
        <v>21.426451026104544</v>
      </c>
      <c r="FC24" s="1">
        <f t="shared" si="110"/>
        <v>2.3423000000000003</v>
      </c>
      <c r="FD24">
        <f>23.5/10</f>
        <v>2.35</v>
      </c>
      <c r="FE24">
        <f>3.2</f>
        <v>3.2</v>
      </c>
      <c r="FF24" s="7">
        <f t="shared" si="111"/>
        <v>5.3250000000000002</v>
      </c>
      <c r="FG24" s="1">
        <f t="shared" si="112"/>
        <v>0.42500000000000004</v>
      </c>
      <c r="FH24">
        <v>2.63E-2</v>
      </c>
      <c r="FI24">
        <v>3.4000000000000002E-2</v>
      </c>
      <c r="FJ24">
        <v>4.41E-2</v>
      </c>
      <c r="FK24">
        <v>4.0899999999999999E-2</v>
      </c>
      <c r="FL24" s="1">
        <f t="shared" si="113"/>
        <v>2.5666666666666672E-3</v>
      </c>
    </row>
    <row r="25" spans="1:168">
      <c r="A25" t="s">
        <v>115</v>
      </c>
      <c r="B25" s="1" t="s">
        <v>40</v>
      </c>
      <c r="C25" s="1">
        <v>98861</v>
      </c>
      <c r="D25" s="6">
        <f t="shared" si="117"/>
        <v>99115.4</v>
      </c>
      <c r="E25" s="6">
        <f t="shared" si="118"/>
        <v>99285</v>
      </c>
      <c r="F25" s="1">
        <v>99709</v>
      </c>
      <c r="G25" s="1">
        <f t="shared" si="2"/>
        <v>84.8</v>
      </c>
      <c r="H25" s="1">
        <v>1.31</v>
      </c>
      <c r="I25" s="1">
        <v>1.28</v>
      </c>
      <c r="J25" s="1">
        <v>1.22</v>
      </c>
      <c r="K25">
        <v>38630</v>
      </c>
      <c r="L25">
        <f t="shared" si="24"/>
        <v>0.39075064990238823</v>
      </c>
      <c r="M25" s="1">
        <v>30387</v>
      </c>
      <c r="N25">
        <f t="shared" si="25"/>
        <v>0.30475684241141721</v>
      </c>
      <c r="O25">
        <f t="shared" si="26"/>
        <v>-0.22007335755539439</v>
      </c>
      <c r="P25">
        <f t="shared" si="27"/>
        <v>0.18328675226297958</v>
      </c>
      <c r="Q25">
        <f t="shared" si="28"/>
        <v>0.11321933883643528</v>
      </c>
      <c r="R25">
        <f t="shared" si="29"/>
        <v>732.65351111473001</v>
      </c>
      <c r="S25">
        <f t="shared" si="30"/>
        <v>633.67334998612273</v>
      </c>
      <c r="T25">
        <f t="shared" si="31"/>
        <v>494.64185160983601</v>
      </c>
      <c r="U25">
        <v>92297.113769999996</v>
      </c>
      <c r="V25">
        <f t="shared" si="32"/>
        <v>5.3592342317708864E-3</v>
      </c>
      <c r="W25">
        <f t="shared" si="33"/>
        <v>589.07087424405017</v>
      </c>
      <c r="X25">
        <v>79429.064259999999</v>
      </c>
      <c r="Y25">
        <f t="shared" si="34"/>
        <v>7.4163139114393761E-3</v>
      </c>
      <c r="Z25" s="1">
        <v>3862</v>
      </c>
      <c r="AA25" s="1">
        <f t="shared" si="35"/>
        <v>3.9064949777971092E-2</v>
      </c>
      <c r="AB25" s="1">
        <v>40201</v>
      </c>
      <c r="AC25" s="1">
        <f t="shared" si="3"/>
        <v>0.40664164837499117</v>
      </c>
      <c r="AD25" s="1">
        <v>61.278341249999997</v>
      </c>
      <c r="AE25" s="1">
        <v>4715</v>
      </c>
      <c r="AF25">
        <f t="shared" si="114"/>
        <v>1.2208700155359917</v>
      </c>
      <c r="AG25">
        <f t="shared" si="36"/>
        <v>0.11728563966070496</v>
      </c>
      <c r="AH25">
        <f t="shared" si="116"/>
        <v>6.635976759161887E-3</v>
      </c>
      <c r="AI25">
        <v>20508</v>
      </c>
      <c r="AJ25">
        <f t="shared" si="37"/>
        <v>26865.48</v>
      </c>
      <c r="AK25">
        <f t="shared" si="4"/>
        <v>0.27105253068645235</v>
      </c>
      <c r="AL25">
        <f t="shared" si="38"/>
        <v>40.567501634999999</v>
      </c>
      <c r="AM25">
        <f t="shared" si="39"/>
        <v>6.6815189440357151E-3</v>
      </c>
      <c r="AN25">
        <v>28.8</v>
      </c>
      <c r="AO25">
        <f t="shared" si="40"/>
        <v>28800</v>
      </c>
      <c r="AP25">
        <f t="shared" si="41"/>
        <v>36864</v>
      </c>
      <c r="AQ25">
        <f t="shared" si="5"/>
        <v>0.37129475751624114</v>
      </c>
      <c r="AR25">
        <f t="shared" si="42"/>
        <v>51.759606732800002</v>
      </c>
      <c r="AS25">
        <f t="shared" si="43"/>
        <v>7.1734462634730975E-3</v>
      </c>
      <c r="AT25" s="1">
        <v>4467</v>
      </c>
      <c r="AU25" s="1">
        <f t="shared" si="44"/>
        <v>4.4800369074005357E-2</v>
      </c>
      <c r="AV25" s="1">
        <f t="shared" si="45"/>
        <v>0.14681752641772228</v>
      </c>
      <c r="AW25" s="1">
        <v>36808</v>
      </c>
      <c r="AX25" s="1">
        <f t="shared" si="46"/>
        <v>44905.760000000002</v>
      </c>
      <c r="AY25" s="1">
        <f t="shared" si="6"/>
        <v>0.45036817137871205</v>
      </c>
      <c r="AZ25" s="1">
        <f t="shared" si="47"/>
        <v>0.1075308522342939</v>
      </c>
      <c r="BA25" s="1">
        <f t="shared" si="48"/>
        <v>60.4858519474</v>
      </c>
      <c r="BB25" s="1">
        <v>4144</v>
      </c>
      <c r="BC25" s="1">
        <f t="shared" si="49"/>
        <v>5055.68</v>
      </c>
      <c r="BD25" s="1">
        <f t="shared" si="50"/>
        <v>1.1317841952093128</v>
      </c>
      <c r="BE25" s="1">
        <f t="shared" si="51"/>
        <v>0.11258422082156053</v>
      </c>
      <c r="BF25" s="1">
        <f t="shared" si="52"/>
        <v>7.4458432324035614E-3</v>
      </c>
      <c r="BG25" s="1">
        <v>1434</v>
      </c>
      <c r="BH25" s="1">
        <f t="shared" si="53"/>
        <v>1.4505214391924015E-2</v>
      </c>
      <c r="BI25" s="1">
        <v>51020.091999999997</v>
      </c>
      <c r="BJ25" s="1">
        <f t="shared" si="7"/>
        <v>0.51607906049908459</v>
      </c>
      <c r="BK25" s="1">
        <v>101.2013381</v>
      </c>
      <c r="BL25" s="1">
        <v>2296.77</v>
      </c>
      <c r="BM25">
        <f t="shared" si="8"/>
        <v>1.6016527196652719</v>
      </c>
      <c r="BN25">
        <f t="shared" si="9"/>
        <v>4.5016970961165657E-2</v>
      </c>
      <c r="BO25">
        <f t="shared" si="54"/>
        <v>5.0995280318243599E-3</v>
      </c>
      <c r="BP25">
        <v>18218</v>
      </c>
      <c r="BQ25">
        <f t="shared" si="55"/>
        <v>23865.58</v>
      </c>
      <c r="BR25">
        <f t="shared" si="10"/>
        <v>0.24078579110814266</v>
      </c>
      <c r="BS25">
        <f t="shared" si="56"/>
        <v>59.525235619600004</v>
      </c>
      <c r="BT25">
        <f t="shared" si="57"/>
        <v>4.0451043763505678E-3</v>
      </c>
      <c r="BU25">
        <v>35.58</v>
      </c>
      <c r="BV25">
        <f t="shared" si="11"/>
        <v>35580</v>
      </c>
      <c r="BW25">
        <f t="shared" si="58"/>
        <v>45542.400000000001</v>
      </c>
      <c r="BX25">
        <f t="shared" si="12"/>
        <v>0.4587037316815229</v>
      </c>
      <c r="BY25">
        <f t="shared" si="59"/>
        <v>76.247206297600002</v>
      </c>
      <c r="BZ25">
        <f t="shared" si="60"/>
        <v>6.0160070638019076E-3</v>
      </c>
      <c r="CA25" s="1">
        <v>1346</v>
      </c>
      <c r="CB25" s="1">
        <f t="shared" si="61"/>
        <v>1.3499282913277637E-2</v>
      </c>
      <c r="CC25" s="1">
        <f t="shared" si="62"/>
        <v>-6.9349645683723524E-2</v>
      </c>
      <c r="CD25" s="1">
        <v>30860</v>
      </c>
      <c r="CE25" s="1">
        <f t="shared" si="63"/>
        <v>37649.199999999997</v>
      </c>
      <c r="CF25">
        <f t="shared" si="13"/>
        <v>0.37759078919656197</v>
      </c>
      <c r="CG25">
        <f t="shared" si="64"/>
        <v>-0.26834700708181175</v>
      </c>
      <c r="CH25">
        <f t="shared" si="65"/>
        <v>90.917938902799989</v>
      </c>
      <c r="CI25" s="1">
        <v>2074</v>
      </c>
      <c r="CJ25" s="1">
        <f t="shared" si="66"/>
        <v>2530.2799999999997</v>
      </c>
      <c r="CK25">
        <f t="shared" si="67"/>
        <v>1.8798514115898959</v>
      </c>
      <c r="CL25">
        <f t="shared" si="68"/>
        <v>6.7206740116655866E-2</v>
      </c>
      <c r="CM25">
        <f t="shared" si="69"/>
        <v>4.1530944690710905E-3</v>
      </c>
      <c r="CN25" s="1">
        <v>6985</v>
      </c>
      <c r="CO25" s="1">
        <f t="shared" si="70"/>
        <v>7.0654757690090123E-2</v>
      </c>
      <c r="CP25" s="1">
        <v>48809567</v>
      </c>
      <c r="CQ25" s="1">
        <f t="shared" si="14"/>
        <v>493.71913090096194</v>
      </c>
      <c r="CR25" s="1">
        <v>108123.0123</v>
      </c>
      <c r="CS25" s="1">
        <v>8990706</v>
      </c>
      <c r="CT25">
        <f t="shared" si="71"/>
        <v>1287.1447387258411</v>
      </c>
      <c r="CU25">
        <f t="shared" si="72"/>
        <v>0.1841996672496603</v>
      </c>
      <c r="CV25">
        <f t="shared" si="73"/>
        <v>4.5662724372780164E-3</v>
      </c>
      <c r="CW25" s="1">
        <v>4996</v>
      </c>
      <c r="CX25" s="1">
        <f t="shared" si="74"/>
        <v>5.0105807900991887E-2</v>
      </c>
      <c r="CY25" s="1">
        <f t="shared" si="75"/>
        <v>-0.29083603795276175</v>
      </c>
      <c r="CZ25" s="1">
        <v>48076322</v>
      </c>
      <c r="DA25" s="1">
        <f t="shared" si="15"/>
        <v>58653112.839999996</v>
      </c>
      <c r="DB25" s="1">
        <f t="shared" si="16"/>
        <v>588.24291528347487</v>
      </c>
      <c r="DC25" s="1">
        <f t="shared" si="76"/>
        <v>0.19145254551919322</v>
      </c>
      <c r="DD25" s="1">
        <f t="shared" si="77"/>
        <v>93954.54819500001</v>
      </c>
      <c r="DE25" s="1">
        <v>5608024</v>
      </c>
      <c r="DF25" s="1">
        <f t="shared" si="78"/>
        <v>6841789.2800000003</v>
      </c>
      <c r="DG25">
        <f t="shared" si="79"/>
        <v>1369.453418734988</v>
      </c>
      <c r="DH25">
        <f t="shared" si="80"/>
        <v>0.11664835758442588</v>
      </c>
      <c r="DI25">
        <f t="shared" si="81"/>
        <v>6.2609307009022421E-3</v>
      </c>
      <c r="DJ25" s="1">
        <v>1398547</v>
      </c>
      <c r="DK25">
        <f t="shared" si="17"/>
        <v>14.146599771396202</v>
      </c>
      <c r="DL25">
        <v>1889.3069949999999</v>
      </c>
      <c r="DM25" s="1">
        <v>221484</v>
      </c>
      <c r="DN25" s="3">
        <f t="shared" si="82"/>
        <v>7.4877189407728849E-3</v>
      </c>
      <c r="DO25" s="1">
        <v>1443316</v>
      </c>
      <c r="DP25" s="1">
        <f t="shared" si="83"/>
        <v>1760845.52</v>
      </c>
      <c r="DQ25" s="3">
        <f t="shared" si="18"/>
        <v>17.659845349968407</v>
      </c>
      <c r="DR25" s="3">
        <f t="shared" si="84"/>
        <v>1905.8896083399998</v>
      </c>
      <c r="DS25" s="3">
        <f t="shared" si="85"/>
        <v>168601.31251440221</v>
      </c>
      <c r="DT25" s="3">
        <f t="shared" si="86"/>
        <v>9.2659329652098037E-3</v>
      </c>
      <c r="DU25" s="3">
        <f t="shared" si="87"/>
        <v>0.76123472808149661</v>
      </c>
      <c r="DV25" s="3">
        <f t="shared" si="88"/>
        <v>443.73871930047153</v>
      </c>
      <c r="DW25" s="3">
        <f t="shared" si="89"/>
        <v>0.1071569327323622</v>
      </c>
      <c r="DX25" s="3">
        <f t="shared" si="90"/>
        <v>50299335.092</v>
      </c>
      <c r="DY25" s="3">
        <f t="shared" si="91"/>
        <v>508.78845138123222</v>
      </c>
      <c r="DZ25" s="3">
        <f t="shared" si="92"/>
        <v>50208114</v>
      </c>
      <c r="EA25" s="3">
        <f t="shared" si="93"/>
        <v>50731.06</v>
      </c>
      <c r="EB25" s="3">
        <f t="shared" si="94"/>
        <v>0.51183832179459499</v>
      </c>
      <c r="EC25" s="3">
        <f t="shared" si="95"/>
        <v>82406.399999999994</v>
      </c>
      <c r="ED25" s="3">
        <f t="shared" si="96"/>
        <v>0.82999848919776398</v>
      </c>
      <c r="EE25" s="9">
        <f t="shared" si="97"/>
        <v>60496513.32</v>
      </c>
      <c r="EF25" s="13">
        <f t="shared" si="98"/>
        <v>606.73071959401864</v>
      </c>
      <c r="EG25" s="14">
        <f t="shared" si="99"/>
        <v>0.19250096567030536</v>
      </c>
      <c r="EH25" s="9">
        <f t="shared" si="100"/>
        <v>60413958.359999999</v>
      </c>
      <c r="EI25" s="10">
        <v>264999</v>
      </c>
      <c r="EJ25" s="10">
        <f t="shared" si="19"/>
        <v>347148.69</v>
      </c>
      <c r="EK25" s="10">
        <f t="shared" si="101"/>
        <v>3.5024697473853714</v>
      </c>
      <c r="EL25" s="10">
        <v>606000</v>
      </c>
      <c r="EM25" s="10">
        <f t="shared" si="20"/>
        <v>775680</v>
      </c>
      <c r="EN25" s="10">
        <f t="shared" si="102"/>
        <v>7.8126605227375734</v>
      </c>
      <c r="EO25" s="11">
        <v>2085612</v>
      </c>
      <c r="EP25" s="11">
        <f t="shared" si="21"/>
        <v>2544446.64</v>
      </c>
      <c r="EQ25" s="11">
        <f t="shared" si="103"/>
        <v>25.51872589234673</v>
      </c>
      <c r="ER25" s="10">
        <f t="shared" si="104"/>
        <v>36.833856162469672</v>
      </c>
      <c r="ES25" s="10">
        <f t="shared" si="115"/>
        <v>3.2802787747524755</v>
      </c>
      <c r="ET25" s="12">
        <v>3048794</v>
      </c>
      <c r="EU25" s="12">
        <f t="shared" si="22"/>
        <v>3993920.14</v>
      </c>
      <c r="EV25" s="12">
        <f t="shared" si="105"/>
        <v>40.295656779874776</v>
      </c>
      <c r="EW25" s="10">
        <v>170000</v>
      </c>
      <c r="EX25" s="10">
        <f t="shared" si="23"/>
        <v>217600</v>
      </c>
      <c r="EY25" s="10">
        <f t="shared" si="106"/>
        <v>2.1916704436722565</v>
      </c>
      <c r="EZ25" s="3">
        <f t="shared" si="107"/>
        <v>557647.39170792082</v>
      </c>
      <c r="FA25" s="3">
        <f t="shared" si="108"/>
        <v>5.5927488161341588</v>
      </c>
      <c r="FB25" s="3">
        <f t="shared" si="109"/>
        <v>48.080076039681195</v>
      </c>
      <c r="FC25" s="1">
        <f t="shared" si="110"/>
        <v>2.2423000000000002</v>
      </c>
      <c r="FD25">
        <f>22.5/10</f>
        <v>2.25</v>
      </c>
      <c r="FE25">
        <f>2.7</f>
        <v>2.7</v>
      </c>
      <c r="FF25" s="7">
        <f t="shared" si="111"/>
        <v>3.8250000000000006</v>
      </c>
      <c r="FG25" s="1">
        <f t="shared" si="112"/>
        <v>0.22500000000000009</v>
      </c>
      <c r="FH25">
        <v>2.63E-2</v>
      </c>
      <c r="FI25">
        <v>3.4000000000000002E-2</v>
      </c>
      <c r="FJ25">
        <v>4.41E-2</v>
      </c>
      <c r="FK25">
        <v>4.0899999999999999E-2</v>
      </c>
      <c r="FL25" s="1">
        <f t="shared" si="113"/>
        <v>2.5666666666666672E-3</v>
      </c>
    </row>
    <row r="26" spans="1:168">
      <c r="A26" t="s">
        <v>120</v>
      </c>
      <c r="B26" s="1" t="s">
        <v>61</v>
      </c>
      <c r="C26" s="1">
        <v>136330</v>
      </c>
      <c r="D26" s="6">
        <f t="shared" si="117"/>
        <v>138424.29999999999</v>
      </c>
      <c r="E26" s="6">
        <f t="shared" si="118"/>
        <v>139820.5</v>
      </c>
      <c r="F26" s="1">
        <v>143311</v>
      </c>
      <c r="G26" s="1">
        <f t="shared" si="2"/>
        <v>698.1</v>
      </c>
      <c r="H26" s="1">
        <v>1.31</v>
      </c>
      <c r="I26" s="1">
        <v>1.28</v>
      </c>
      <c r="J26" s="1">
        <v>1.22</v>
      </c>
      <c r="K26">
        <v>56430</v>
      </c>
      <c r="L26">
        <f t="shared" si="24"/>
        <v>0.41392210078486025</v>
      </c>
      <c r="M26" s="1">
        <v>52091</v>
      </c>
      <c r="N26">
        <f t="shared" si="25"/>
        <v>0.36348221699660177</v>
      </c>
      <c r="O26">
        <f t="shared" si="26"/>
        <v>-0.12185839725063403</v>
      </c>
      <c r="P26">
        <f t="shared" si="27"/>
        <v>9.0971713804513687E-2</v>
      </c>
      <c r="Q26">
        <f t="shared" si="28"/>
        <v>9.2560015563903794E-2</v>
      </c>
      <c r="R26">
        <f t="shared" si="29"/>
        <v>457.50245204576771</v>
      </c>
      <c r="S26">
        <f t="shared" si="30"/>
        <v>430.67979959427061</v>
      </c>
      <c r="T26">
        <f t="shared" si="31"/>
        <v>625.29453660236197</v>
      </c>
      <c r="U26">
        <v>92297.113769999996</v>
      </c>
      <c r="V26">
        <f t="shared" si="32"/>
        <v>6.7748005442571707E-3</v>
      </c>
      <c r="W26">
        <f t="shared" si="33"/>
        <v>486.5706664526798</v>
      </c>
      <c r="X26">
        <v>79429.064259999999</v>
      </c>
      <c r="Y26">
        <f t="shared" si="34"/>
        <v>6.1258516764085046E-3</v>
      </c>
      <c r="Z26" s="1">
        <v>7421</v>
      </c>
      <c r="AA26" s="1">
        <f t="shared" si="35"/>
        <v>5.4434093743123302E-2</v>
      </c>
      <c r="AB26" s="1">
        <v>84911</v>
      </c>
      <c r="AC26" s="1">
        <f t="shared" si="3"/>
        <v>0.62283429912711807</v>
      </c>
      <c r="AD26" s="1">
        <v>61.278341249999997</v>
      </c>
      <c r="AE26" s="1">
        <v>9991</v>
      </c>
      <c r="AF26">
        <f t="shared" si="114"/>
        <v>1.3463145128688856</v>
      </c>
      <c r="AG26">
        <f t="shared" si="36"/>
        <v>0.11766437799578382</v>
      </c>
      <c r="AH26">
        <f t="shared" si="116"/>
        <v>1.0164020213701821E-2</v>
      </c>
      <c r="AI26">
        <v>38469</v>
      </c>
      <c r="AJ26">
        <f t="shared" si="37"/>
        <v>50394.39</v>
      </c>
      <c r="AK26">
        <f t="shared" si="4"/>
        <v>0.36405739454705571</v>
      </c>
      <c r="AL26">
        <f t="shared" si="38"/>
        <v>40.567501634999999</v>
      </c>
      <c r="AM26">
        <f t="shared" si="39"/>
        <v>8.9741142509244826E-3</v>
      </c>
      <c r="AN26">
        <v>52.79</v>
      </c>
      <c r="AO26">
        <f t="shared" si="40"/>
        <v>52790</v>
      </c>
      <c r="AP26">
        <f t="shared" si="41"/>
        <v>67571.199999999997</v>
      </c>
      <c r="AQ26">
        <f t="shared" si="5"/>
        <v>0.48327105109765733</v>
      </c>
      <c r="AR26">
        <f t="shared" si="42"/>
        <v>51.759606732800002</v>
      </c>
      <c r="AS26">
        <f t="shared" si="43"/>
        <v>9.336837769893816E-3</v>
      </c>
      <c r="AT26" s="1">
        <v>7956</v>
      </c>
      <c r="AU26" s="1">
        <f t="shared" si="44"/>
        <v>5.5515626853486474E-2</v>
      </c>
      <c r="AV26" s="1">
        <f t="shared" si="45"/>
        <v>1.9868671194692267E-2</v>
      </c>
      <c r="AW26" s="1">
        <v>57569</v>
      </c>
      <c r="AX26" s="1">
        <f t="shared" si="46"/>
        <v>70234.179999999993</v>
      </c>
      <c r="AY26" s="1">
        <f t="shared" si="6"/>
        <v>0.49008226863255433</v>
      </c>
      <c r="AZ26" s="1">
        <f t="shared" si="47"/>
        <v>-0.21314181104125349</v>
      </c>
      <c r="BA26" s="1">
        <f t="shared" si="48"/>
        <v>60.4858519474</v>
      </c>
      <c r="BB26" s="1">
        <v>6598</v>
      </c>
      <c r="BC26" s="1">
        <f t="shared" si="49"/>
        <v>8049.5599999999995</v>
      </c>
      <c r="BD26" s="1">
        <f t="shared" si="50"/>
        <v>1.0117596782302665</v>
      </c>
      <c r="BE26" s="1">
        <f t="shared" si="51"/>
        <v>0.11461029373447515</v>
      </c>
      <c r="BF26" s="1">
        <f t="shared" si="52"/>
        <v>8.1024281357356433E-3</v>
      </c>
      <c r="BG26" s="1">
        <v>3347</v>
      </c>
      <c r="BH26" s="1">
        <f t="shared" si="53"/>
        <v>2.4550722511552849E-2</v>
      </c>
      <c r="BI26" s="1">
        <v>171599.17499999999</v>
      </c>
      <c r="BJ26" s="1">
        <f t="shared" si="7"/>
        <v>1.2587044304261716</v>
      </c>
      <c r="BK26" s="1">
        <v>101.2013381</v>
      </c>
      <c r="BL26" s="1">
        <v>5834.4319999999998</v>
      </c>
      <c r="BM26">
        <f t="shared" si="8"/>
        <v>1.7431825515386914</v>
      </c>
      <c r="BN26">
        <f t="shared" si="9"/>
        <v>3.4000349943407365E-2</v>
      </c>
      <c r="BO26">
        <f t="shared" si="54"/>
        <v>1.2437626360062641E-2</v>
      </c>
      <c r="BP26">
        <v>70391</v>
      </c>
      <c r="BQ26">
        <f t="shared" si="55"/>
        <v>92212.21</v>
      </c>
      <c r="BR26">
        <f t="shared" si="10"/>
        <v>0.66615623123974632</v>
      </c>
      <c r="BS26">
        <f t="shared" si="56"/>
        <v>59.525235619600004</v>
      </c>
      <c r="BT26">
        <f t="shared" si="57"/>
        <v>1.1191156562518496E-2</v>
      </c>
      <c r="BU26">
        <v>97.95</v>
      </c>
      <c r="BV26">
        <f t="shared" si="11"/>
        <v>97950</v>
      </c>
      <c r="BW26">
        <f t="shared" si="58"/>
        <v>125376</v>
      </c>
      <c r="BX26">
        <f t="shared" si="12"/>
        <v>0.89669254508459062</v>
      </c>
      <c r="BY26">
        <f t="shared" si="59"/>
        <v>76.247206297600002</v>
      </c>
      <c r="BZ26">
        <f t="shared" si="60"/>
        <v>1.1760333114169658E-2</v>
      </c>
      <c r="CA26" s="1">
        <v>3237</v>
      </c>
      <c r="CB26" s="1">
        <f t="shared" si="61"/>
        <v>2.2587240337447929E-2</v>
      </c>
      <c r="CC26" s="1">
        <f t="shared" si="62"/>
        <v>-7.9976553569083897E-2</v>
      </c>
      <c r="CD26" s="1">
        <v>105875</v>
      </c>
      <c r="CE26" s="1">
        <f t="shared" si="63"/>
        <v>129167.5</v>
      </c>
      <c r="CF26">
        <f t="shared" si="13"/>
        <v>0.90130904117618327</v>
      </c>
      <c r="CG26">
        <f t="shared" si="64"/>
        <v>-0.28393908896386549</v>
      </c>
      <c r="CH26">
        <f t="shared" si="65"/>
        <v>90.917938902799989</v>
      </c>
      <c r="CI26" s="1">
        <v>4813</v>
      </c>
      <c r="CJ26" s="1">
        <f t="shared" si="66"/>
        <v>5871.86</v>
      </c>
      <c r="CK26">
        <f t="shared" si="67"/>
        <v>1.8139820821748531</v>
      </c>
      <c r="CL26">
        <f t="shared" si="68"/>
        <v>4.5459268004722546E-2</v>
      </c>
      <c r="CM26">
        <f t="shared" si="69"/>
        <v>9.913434598861388E-3</v>
      </c>
      <c r="CN26" s="1">
        <v>5925</v>
      </c>
      <c r="CO26" s="1">
        <f t="shared" si="70"/>
        <v>4.3460720311010052E-2</v>
      </c>
      <c r="CP26" s="1">
        <v>84989894</v>
      </c>
      <c r="CQ26" s="1">
        <f t="shared" si="14"/>
        <v>623.41299787280866</v>
      </c>
      <c r="CR26" s="1">
        <v>108123.0123</v>
      </c>
      <c r="CS26" s="1">
        <v>7621263</v>
      </c>
      <c r="CT26">
        <f t="shared" si="71"/>
        <v>1286.2891139240505</v>
      </c>
      <c r="CU26">
        <f t="shared" si="72"/>
        <v>8.9672579189238669E-2</v>
      </c>
      <c r="CV26">
        <f t="shared" si="73"/>
        <v>5.765775338769475E-3</v>
      </c>
      <c r="CW26" s="1">
        <v>5074</v>
      </c>
      <c r="CX26" s="1">
        <f t="shared" si="74"/>
        <v>3.5405516673528203E-2</v>
      </c>
      <c r="CY26" s="1">
        <f t="shared" si="75"/>
        <v>-0.18534445770428698</v>
      </c>
      <c r="CZ26" s="1">
        <v>56993055</v>
      </c>
      <c r="DA26" s="1">
        <f t="shared" si="15"/>
        <v>69531527.099999994</v>
      </c>
      <c r="DB26" s="1">
        <f t="shared" si="16"/>
        <v>485.17927514287106</v>
      </c>
      <c r="DC26" s="1">
        <f t="shared" si="76"/>
        <v>-0.2217369916918874</v>
      </c>
      <c r="DD26" s="1">
        <f t="shared" si="77"/>
        <v>93954.54819500001</v>
      </c>
      <c r="DE26" s="1">
        <v>5731104</v>
      </c>
      <c r="DF26" s="1">
        <f t="shared" si="78"/>
        <v>6991946.8799999999</v>
      </c>
      <c r="DG26">
        <f t="shared" si="79"/>
        <v>1377.9950492707922</v>
      </c>
      <c r="DH26">
        <f t="shared" si="80"/>
        <v>0.10055793640119837</v>
      </c>
      <c r="DI26">
        <f t="shared" si="81"/>
        <v>5.163978588198787E-3</v>
      </c>
      <c r="DJ26" s="1">
        <v>5354466</v>
      </c>
      <c r="DK26">
        <f t="shared" si="17"/>
        <v>39.27577202376586</v>
      </c>
      <c r="DL26">
        <v>1889.3069949999999</v>
      </c>
      <c r="DM26" s="1">
        <v>605028</v>
      </c>
      <c r="DN26" s="3">
        <f t="shared" si="82"/>
        <v>2.0788454246826023E-2</v>
      </c>
      <c r="DO26" s="1">
        <v>4884491</v>
      </c>
      <c r="DP26" s="1">
        <f t="shared" si="83"/>
        <v>5959079.0199999996</v>
      </c>
      <c r="DQ26" s="3">
        <f t="shared" si="18"/>
        <v>41.581448876918031</v>
      </c>
      <c r="DR26" s="3">
        <f t="shared" si="84"/>
        <v>1905.8896083399998</v>
      </c>
      <c r="DS26" s="3">
        <f t="shared" si="85"/>
        <v>555021.26544086088</v>
      </c>
      <c r="DT26" s="3">
        <f t="shared" si="86"/>
        <v>2.1817343824616805E-2</v>
      </c>
      <c r="DU26" s="3">
        <f t="shared" si="87"/>
        <v>0.91734806561160953</v>
      </c>
      <c r="DV26" s="3">
        <f t="shared" si="88"/>
        <v>445.03323366994255</v>
      </c>
      <c r="DW26" s="3">
        <f t="shared" si="89"/>
        <v>8.3660800878137653E-2</v>
      </c>
      <c r="DX26" s="3">
        <f t="shared" si="90"/>
        <v>90600870.174999997</v>
      </c>
      <c r="DY26" s="3">
        <f t="shared" si="91"/>
        <v>664.57030862612771</v>
      </c>
      <c r="DZ26" s="3">
        <f t="shared" si="92"/>
        <v>90344360</v>
      </c>
      <c r="EA26" s="3">
        <f t="shared" si="93"/>
        <v>142606.6</v>
      </c>
      <c r="EB26" s="3">
        <f t="shared" si="94"/>
        <v>1.030213625786802</v>
      </c>
      <c r="EC26" s="3">
        <f t="shared" si="95"/>
        <v>192947.20000000001</v>
      </c>
      <c r="ED26" s="3">
        <f t="shared" si="96"/>
        <v>1.3799635961822481</v>
      </c>
      <c r="EE26" s="9">
        <f t="shared" si="97"/>
        <v>75690007.799999997</v>
      </c>
      <c r="EF26" s="13">
        <f t="shared" si="98"/>
        <v>528.15211532959779</v>
      </c>
      <c r="EG26" s="14">
        <f t="shared" si="99"/>
        <v>-0.2052727778021689</v>
      </c>
      <c r="EH26" s="9">
        <f t="shared" si="100"/>
        <v>75490606.11999999</v>
      </c>
      <c r="EI26" s="10">
        <v>316313</v>
      </c>
      <c r="EJ26" s="10">
        <f t="shared" si="19"/>
        <v>414370.03</v>
      </c>
      <c r="EK26" s="10">
        <f t="shared" si="101"/>
        <v>2.9934775180369346</v>
      </c>
      <c r="EL26" s="10">
        <v>215000</v>
      </c>
      <c r="EM26" s="10">
        <f t="shared" si="20"/>
        <v>275200</v>
      </c>
      <c r="EN26" s="10">
        <f t="shared" si="102"/>
        <v>1.9682378478120162</v>
      </c>
      <c r="EO26" s="11">
        <v>1063485</v>
      </c>
      <c r="EP26" s="11">
        <f t="shared" si="21"/>
        <v>1297451.7</v>
      </c>
      <c r="EQ26" s="11">
        <f t="shared" si="103"/>
        <v>9.0533992505809042</v>
      </c>
      <c r="ER26" s="10">
        <f t="shared" si="104"/>
        <v>14.015114616429855</v>
      </c>
      <c r="ES26" s="10">
        <f t="shared" si="115"/>
        <v>4.7145773982558135</v>
      </c>
      <c r="ET26" s="12">
        <v>2136086</v>
      </c>
      <c r="EU26" s="12">
        <f t="shared" si="22"/>
        <v>2798272.66</v>
      </c>
      <c r="EV26" s="12">
        <f t="shared" si="105"/>
        <v>20.215183750251946</v>
      </c>
      <c r="EW26" s="10">
        <v>644000</v>
      </c>
      <c r="EX26" s="10">
        <f t="shared" si="23"/>
        <v>824320</v>
      </c>
      <c r="EY26" s="10">
        <f t="shared" si="106"/>
        <v>5.8955589487950624</v>
      </c>
      <c r="EZ26" s="3">
        <f t="shared" si="107"/>
        <v>3036187.8444767441</v>
      </c>
      <c r="FA26" s="3">
        <f t="shared" si="108"/>
        <v>21.186006967202406</v>
      </c>
      <c r="FB26" s="3">
        <f t="shared" si="109"/>
        <v>47.296749666249411</v>
      </c>
      <c r="FC26" s="1">
        <f t="shared" si="110"/>
        <v>3.3222999999999998</v>
      </c>
      <c r="FD26">
        <f>33.3/10</f>
        <v>3.3299999999999996</v>
      </c>
      <c r="FE26">
        <f>4.6</f>
        <v>4.5999999999999996</v>
      </c>
      <c r="FF26" s="7">
        <f t="shared" si="111"/>
        <v>7.7749999999999995</v>
      </c>
      <c r="FG26" s="1">
        <f t="shared" si="112"/>
        <v>0.63500000000000001</v>
      </c>
      <c r="FH26">
        <v>2.63E-2</v>
      </c>
      <c r="FI26">
        <v>3.4000000000000002E-2</v>
      </c>
      <c r="FJ26">
        <v>4.41E-2</v>
      </c>
      <c r="FK26">
        <v>4.0899999999999999E-2</v>
      </c>
      <c r="FL26" s="1">
        <f t="shared" si="113"/>
        <v>2.5666666666666672E-3</v>
      </c>
    </row>
    <row r="27" spans="1:168">
      <c r="A27" t="s">
        <v>120</v>
      </c>
      <c r="B27" s="1" t="s">
        <v>62</v>
      </c>
      <c r="C27" s="1">
        <v>85200</v>
      </c>
      <c r="D27" s="6">
        <f t="shared" si="117"/>
        <v>87014.1</v>
      </c>
      <c r="E27" s="6">
        <f t="shared" si="118"/>
        <v>88223.5</v>
      </c>
      <c r="F27" s="1">
        <v>91247</v>
      </c>
      <c r="G27" s="1">
        <f t="shared" si="2"/>
        <v>604.70000000000005</v>
      </c>
      <c r="H27" s="1">
        <v>1.31</v>
      </c>
      <c r="I27" s="1">
        <v>1.28</v>
      </c>
      <c r="J27" s="1">
        <v>1.22</v>
      </c>
      <c r="K27">
        <v>34275</v>
      </c>
      <c r="L27">
        <f t="shared" si="24"/>
        <v>0.40228873239436619</v>
      </c>
      <c r="M27" s="1">
        <v>31860</v>
      </c>
      <c r="N27">
        <f t="shared" si="25"/>
        <v>0.34916216423553653</v>
      </c>
      <c r="O27">
        <f t="shared" si="26"/>
        <v>-0.13206079087183914</v>
      </c>
      <c r="P27">
        <f t="shared" si="27"/>
        <v>0.1417234512952075</v>
      </c>
      <c r="Q27">
        <f t="shared" si="28"/>
        <v>9.2987684716831498E-2</v>
      </c>
      <c r="R27">
        <f t="shared" si="29"/>
        <v>559.00354391994335</v>
      </c>
      <c r="S27">
        <f t="shared" si="30"/>
        <v>440.41849215177359</v>
      </c>
      <c r="T27">
        <f t="shared" si="31"/>
        <v>464.30798271126758</v>
      </c>
      <c r="U27">
        <v>92297.113769999996</v>
      </c>
      <c r="V27">
        <f t="shared" si="32"/>
        <v>5.0305796546173797E-3</v>
      </c>
      <c r="W27">
        <f t="shared" si="33"/>
        <v>398.00103039004023</v>
      </c>
      <c r="X27">
        <v>79429.064259999999</v>
      </c>
      <c r="Y27">
        <f t="shared" si="34"/>
        <v>5.0107732490368914E-3</v>
      </c>
      <c r="Z27" s="1">
        <v>4190</v>
      </c>
      <c r="AA27" s="1">
        <f t="shared" si="35"/>
        <v>4.9178403755868544E-2</v>
      </c>
      <c r="AB27" s="1">
        <v>43182</v>
      </c>
      <c r="AC27" s="1">
        <f t="shared" si="3"/>
        <v>0.50683098591549292</v>
      </c>
      <c r="AD27" s="1">
        <v>61.278341249999997</v>
      </c>
      <c r="AE27" s="1">
        <v>5435</v>
      </c>
      <c r="AF27">
        <f t="shared" si="114"/>
        <v>1.2971360381861574</v>
      </c>
      <c r="AG27">
        <f t="shared" si="36"/>
        <v>0.1258626279468297</v>
      </c>
      <c r="AH27">
        <f t="shared" si="116"/>
        <v>8.2709645133465966E-3</v>
      </c>
      <c r="AI27">
        <v>24018</v>
      </c>
      <c r="AJ27">
        <f t="shared" si="37"/>
        <v>31463.58</v>
      </c>
      <c r="AK27">
        <f t="shared" si="4"/>
        <v>0.36159174202801614</v>
      </c>
      <c r="AL27">
        <f t="shared" si="38"/>
        <v>40.567501634999999</v>
      </c>
      <c r="AM27">
        <f t="shared" si="39"/>
        <v>8.9133352426132503E-3</v>
      </c>
      <c r="AN27">
        <v>27.76</v>
      </c>
      <c r="AO27">
        <f t="shared" si="40"/>
        <v>27760</v>
      </c>
      <c r="AP27">
        <f t="shared" si="41"/>
        <v>35532.800000000003</v>
      </c>
      <c r="AQ27">
        <f t="shared" si="5"/>
        <v>0.40275890210658161</v>
      </c>
      <c r="AR27">
        <f t="shared" si="42"/>
        <v>51.759606732800002</v>
      </c>
      <c r="AS27">
        <f t="shared" si="43"/>
        <v>7.7813362104112308E-3</v>
      </c>
      <c r="AT27" s="1">
        <v>4435</v>
      </c>
      <c r="AU27" s="1">
        <f t="shared" si="44"/>
        <v>4.8604337676855132E-2</v>
      </c>
      <c r="AV27" s="1">
        <f t="shared" si="45"/>
        <v>-1.167313363530852E-2</v>
      </c>
      <c r="AW27" s="1">
        <v>33216</v>
      </c>
      <c r="AX27" s="1">
        <f t="shared" si="46"/>
        <v>40523.519999999997</v>
      </c>
      <c r="AY27" s="1">
        <f t="shared" si="6"/>
        <v>0.44410797067300839</v>
      </c>
      <c r="AZ27" s="1">
        <f t="shared" si="47"/>
        <v>-0.1237552892098486</v>
      </c>
      <c r="BA27" s="1">
        <f t="shared" si="48"/>
        <v>60.4858519474</v>
      </c>
      <c r="BB27" s="1">
        <v>3838</v>
      </c>
      <c r="BC27" s="1">
        <f t="shared" si="49"/>
        <v>4682.3599999999997</v>
      </c>
      <c r="BD27" s="1">
        <f t="shared" si="50"/>
        <v>1.0557745208568208</v>
      </c>
      <c r="BE27" s="1">
        <f t="shared" si="51"/>
        <v>0.11554672447013488</v>
      </c>
      <c r="BF27" s="1">
        <f t="shared" si="52"/>
        <v>7.3423446372089746E-3</v>
      </c>
      <c r="BG27" s="1">
        <v>1856</v>
      </c>
      <c r="BH27" s="1">
        <f t="shared" si="53"/>
        <v>2.1784037558685444E-2</v>
      </c>
      <c r="BI27" s="1">
        <v>57920.127</v>
      </c>
      <c r="BJ27" s="1">
        <f t="shared" si="7"/>
        <v>0.67981369718309859</v>
      </c>
      <c r="BK27" s="1">
        <v>101.2013381</v>
      </c>
      <c r="BL27" s="1">
        <v>2980.06</v>
      </c>
      <c r="BM27">
        <f t="shared" si="8"/>
        <v>1.605635775862069</v>
      </c>
      <c r="BN27">
        <f t="shared" si="9"/>
        <v>5.1451199338703103E-2</v>
      </c>
      <c r="BO27">
        <f t="shared" si="54"/>
        <v>6.7174378318135951E-3</v>
      </c>
      <c r="BP27">
        <v>15132</v>
      </c>
      <c r="BQ27">
        <f t="shared" si="55"/>
        <v>19822.920000000002</v>
      </c>
      <c r="BR27">
        <f t="shared" si="10"/>
        <v>0.22781273379831546</v>
      </c>
      <c r="BS27">
        <f t="shared" si="56"/>
        <v>59.525235619600004</v>
      </c>
      <c r="BT27">
        <f t="shared" si="57"/>
        <v>3.82716223509249E-3</v>
      </c>
      <c r="BU27">
        <v>21.54</v>
      </c>
      <c r="BV27">
        <f t="shared" si="11"/>
        <v>21540</v>
      </c>
      <c r="BW27">
        <f t="shared" si="58"/>
        <v>27571.200000000001</v>
      </c>
      <c r="BX27">
        <f t="shared" si="12"/>
        <v>0.31251537288817605</v>
      </c>
      <c r="BY27">
        <f t="shared" si="59"/>
        <v>76.247206297600002</v>
      </c>
      <c r="BZ27">
        <f t="shared" si="60"/>
        <v>4.0987124389633266E-3</v>
      </c>
      <c r="CA27" s="1">
        <v>1163</v>
      </c>
      <c r="CB27" s="1">
        <f t="shared" si="61"/>
        <v>1.2745624513682642E-2</v>
      </c>
      <c r="CC27" s="1">
        <f t="shared" si="62"/>
        <v>-0.41490990917793041</v>
      </c>
      <c r="CD27" s="1">
        <v>21057</v>
      </c>
      <c r="CE27" s="1">
        <f t="shared" si="63"/>
        <v>25689.54</v>
      </c>
      <c r="CF27">
        <f t="shared" si="13"/>
        <v>0.28153846153846157</v>
      </c>
      <c r="CG27">
        <f t="shared" si="64"/>
        <v>-0.58585938661569359</v>
      </c>
      <c r="CH27">
        <f t="shared" si="65"/>
        <v>90.917938902799989</v>
      </c>
      <c r="CI27" s="1">
        <v>1578</v>
      </c>
      <c r="CJ27" s="1">
        <f t="shared" si="66"/>
        <v>1925.1599999999999</v>
      </c>
      <c r="CK27">
        <f t="shared" si="67"/>
        <v>1.6553396388650041</v>
      </c>
      <c r="CL27">
        <f t="shared" si="68"/>
        <v>7.4939450064111693E-2</v>
      </c>
      <c r="CM27">
        <f t="shared" si="69"/>
        <v>3.0966216891416031E-3</v>
      </c>
      <c r="CN27" s="1">
        <v>3847</v>
      </c>
      <c r="CO27" s="1">
        <f t="shared" si="70"/>
        <v>4.5152582159624415E-2</v>
      </c>
      <c r="CP27" s="1">
        <v>39457938</v>
      </c>
      <c r="CQ27" s="1">
        <f t="shared" si="14"/>
        <v>463.12133802816902</v>
      </c>
      <c r="CR27" s="1">
        <v>108123.0123</v>
      </c>
      <c r="CS27" s="1">
        <v>5521807</v>
      </c>
      <c r="CT27">
        <f t="shared" si="71"/>
        <v>1435.3540421107357</v>
      </c>
      <c r="CU27">
        <f t="shared" si="72"/>
        <v>0.1399416005975781</v>
      </c>
      <c r="CV27">
        <f t="shared" si="73"/>
        <v>4.2832818673529411E-3</v>
      </c>
      <c r="CW27" s="1">
        <v>2493</v>
      </c>
      <c r="CX27" s="1">
        <f t="shared" si="74"/>
        <v>2.7321446184532094E-2</v>
      </c>
      <c r="CY27" s="1">
        <f t="shared" si="75"/>
        <v>-0.39490844426250732</v>
      </c>
      <c r="CZ27" s="1">
        <v>29713268</v>
      </c>
      <c r="DA27" s="1">
        <f t="shared" si="15"/>
        <v>36250186.960000001</v>
      </c>
      <c r="DB27" s="1">
        <f t="shared" si="16"/>
        <v>397.27538395782875</v>
      </c>
      <c r="DC27" s="1">
        <f t="shared" si="76"/>
        <v>-0.14217862288680647</v>
      </c>
      <c r="DD27" s="1">
        <f t="shared" si="77"/>
        <v>93954.54819500001</v>
      </c>
      <c r="DE27" s="1">
        <v>2915425</v>
      </c>
      <c r="DF27" s="1">
        <f t="shared" si="78"/>
        <v>3556818.5</v>
      </c>
      <c r="DG27">
        <f t="shared" si="79"/>
        <v>1426.7222222222222</v>
      </c>
      <c r="DH27">
        <f t="shared" si="80"/>
        <v>9.8118624985982686E-2</v>
      </c>
      <c r="DI27">
        <f t="shared" si="81"/>
        <v>4.2283784190340094E-3</v>
      </c>
      <c r="DJ27" s="1">
        <v>3039055</v>
      </c>
      <c r="DK27">
        <f t="shared" si="17"/>
        <v>35.669659624413143</v>
      </c>
      <c r="DL27">
        <v>1889.3069949999999</v>
      </c>
      <c r="DM27" s="1">
        <v>506927</v>
      </c>
      <c r="DN27" s="3">
        <f t="shared" si="82"/>
        <v>1.8879758408142211E-2</v>
      </c>
      <c r="DO27" s="1">
        <v>1643511</v>
      </c>
      <c r="DP27" s="1">
        <f t="shared" si="83"/>
        <v>2005083.42</v>
      </c>
      <c r="DQ27" s="3">
        <f t="shared" si="18"/>
        <v>21.974239372253333</v>
      </c>
      <c r="DR27" s="3">
        <f t="shared" si="84"/>
        <v>1905.8896083399998</v>
      </c>
      <c r="DS27" s="3">
        <f t="shared" si="85"/>
        <v>326640.92733385466</v>
      </c>
      <c r="DT27" s="3">
        <f t="shared" si="86"/>
        <v>1.1529649606197578E-2</v>
      </c>
      <c r="DU27" s="3">
        <f t="shared" si="87"/>
        <v>0.6443549610374959</v>
      </c>
      <c r="DV27" s="3">
        <f t="shared" si="88"/>
        <v>477.94835838445465</v>
      </c>
      <c r="DW27" s="3">
        <f t="shared" si="89"/>
        <v>0.10097670456722335</v>
      </c>
      <c r="DX27" s="3">
        <f t="shared" si="90"/>
        <v>42598095.126999997</v>
      </c>
      <c r="DY27" s="3">
        <f t="shared" si="91"/>
        <v>499.97764233568068</v>
      </c>
      <c r="DZ27" s="3">
        <f t="shared" si="92"/>
        <v>42496993</v>
      </c>
      <c r="EA27" s="3">
        <f t="shared" si="93"/>
        <v>51286.5</v>
      </c>
      <c r="EB27" s="3">
        <f t="shared" si="94"/>
        <v>0.5894044758263316</v>
      </c>
      <c r="EC27" s="3">
        <f t="shared" si="95"/>
        <v>63104</v>
      </c>
      <c r="ED27" s="3">
        <f t="shared" si="96"/>
        <v>0.7152742749947576</v>
      </c>
      <c r="EE27" s="9">
        <f t="shared" si="97"/>
        <v>38321483.440000005</v>
      </c>
      <c r="EF27" s="13">
        <f t="shared" si="98"/>
        <v>419.97526976229364</v>
      </c>
      <c r="EG27" s="14">
        <f t="shared" si="99"/>
        <v>-0.16001190013147457</v>
      </c>
      <c r="EH27" s="9">
        <f t="shared" si="100"/>
        <v>38255270.380000003</v>
      </c>
      <c r="EI27" s="10">
        <v>198877</v>
      </c>
      <c r="EJ27" s="10">
        <f t="shared" si="19"/>
        <v>260528.87000000002</v>
      </c>
      <c r="EK27" s="10">
        <f t="shared" si="101"/>
        <v>2.9940994620412096</v>
      </c>
      <c r="EL27" s="10">
        <v>154000</v>
      </c>
      <c r="EM27" s="10">
        <f t="shared" si="20"/>
        <v>197120</v>
      </c>
      <c r="EN27" s="10">
        <f t="shared" si="102"/>
        <v>2.2343253214846386</v>
      </c>
      <c r="EO27" s="11">
        <v>1059734</v>
      </c>
      <c r="EP27" s="11">
        <f t="shared" si="21"/>
        <v>1292875.48</v>
      </c>
      <c r="EQ27" s="11">
        <f t="shared" si="103"/>
        <v>14.168964239920216</v>
      </c>
      <c r="ER27" s="10">
        <f t="shared" si="104"/>
        <v>19.397389023446063</v>
      </c>
      <c r="ES27" s="10">
        <f t="shared" si="115"/>
        <v>6.5588244724025975</v>
      </c>
      <c r="ET27" s="12">
        <v>710574</v>
      </c>
      <c r="EU27" s="12">
        <f t="shared" si="22"/>
        <v>930851.94000000006</v>
      </c>
      <c r="EV27" s="12">
        <f t="shared" si="105"/>
        <v>10.697713818794885</v>
      </c>
      <c r="EW27" s="10">
        <v>261000</v>
      </c>
      <c r="EX27" s="10">
        <f t="shared" si="23"/>
        <v>334080</v>
      </c>
      <c r="EY27" s="10">
        <f t="shared" si="106"/>
        <v>3.7867461617369522</v>
      </c>
      <c r="EZ27" s="3">
        <f t="shared" si="107"/>
        <v>1711853.1872970778</v>
      </c>
      <c r="FA27" s="3">
        <f t="shared" si="108"/>
        <v>18.760651717832673</v>
      </c>
      <c r="FB27" s="3">
        <f t="shared" si="109"/>
        <v>33.245111698364511</v>
      </c>
      <c r="FC27" s="1">
        <f t="shared" si="110"/>
        <v>3.8023000000000002</v>
      </c>
      <c r="FD27">
        <f>38.1/10</f>
        <v>3.81</v>
      </c>
      <c r="FE27">
        <f>4.1</f>
        <v>4.0999999999999996</v>
      </c>
      <c r="FF27" s="7">
        <f t="shared" si="111"/>
        <v>4.8249999999999984</v>
      </c>
      <c r="FG27" s="1">
        <f t="shared" si="112"/>
        <v>0.1449999999999998</v>
      </c>
      <c r="FH27">
        <v>2.63E-2</v>
      </c>
      <c r="FI27">
        <v>3.4000000000000002E-2</v>
      </c>
      <c r="FJ27">
        <v>4.41E-2</v>
      </c>
      <c r="FK27">
        <v>4.0899999999999999E-2</v>
      </c>
      <c r="FL27" s="1">
        <f t="shared" si="113"/>
        <v>2.5666666666666672E-3</v>
      </c>
    </row>
    <row r="28" spans="1:168">
      <c r="A28" t="s">
        <v>132</v>
      </c>
      <c r="B28" s="1" t="s">
        <v>89</v>
      </c>
      <c r="C28" s="1">
        <v>355350</v>
      </c>
      <c r="D28" s="6">
        <f t="shared" si="117"/>
        <v>364362.6</v>
      </c>
      <c r="E28" s="6">
        <f t="shared" si="118"/>
        <v>370371</v>
      </c>
      <c r="F28" s="1">
        <v>385392</v>
      </c>
      <c r="G28" s="1">
        <f t="shared" si="2"/>
        <v>3004.2</v>
      </c>
      <c r="H28" s="1">
        <v>1.31</v>
      </c>
      <c r="I28" s="1">
        <v>1.28</v>
      </c>
      <c r="J28" s="1">
        <v>1.22</v>
      </c>
      <c r="K28">
        <v>154765</v>
      </c>
      <c r="L28">
        <f t="shared" si="24"/>
        <v>0.43552835232869003</v>
      </c>
      <c r="M28" s="1">
        <v>143280</v>
      </c>
      <c r="N28">
        <f t="shared" si="25"/>
        <v>0.37177730726117825</v>
      </c>
      <c r="O28">
        <f t="shared" si="26"/>
        <v>-0.14637633744541925</v>
      </c>
      <c r="P28">
        <f t="shared" si="27"/>
        <v>0.1502187395792971</v>
      </c>
      <c r="Q28">
        <f t="shared" si="28"/>
        <v>0.10494573620306545</v>
      </c>
      <c r="R28">
        <f t="shared" si="29"/>
        <v>670.38625790527851</v>
      </c>
      <c r="S28">
        <f t="shared" si="30"/>
        <v>681.7327526989792</v>
      </c>
      <c r="T28">
        <f t="shared" si="31"/>
        <v>798.9352713550021</v>
      </c>
      <c r="U28">
        <v>92297.113769999996</v>
      </c>
      <c r="V28">
        <f t="shared" si="32"/>
        <v>8.6561241053096268E-3</v>
      </c>
      <c r="W28">
        <f t="shared" si="33"/>
        <v>965.14176827749407</v>
      </c>
      <c r="X28">
        <v>79429.064259999999</v>
      </c>
      <c r="Y28">
        <f t="shared" si="34"/>
        <v>1.2150990034557585E-2</v>
      </c>
      <c r="Z28" s="1">
        <v>16446</v>
      </c>
      <c r="AA28" s="1">
        <f t="shared" si="35"/>
        <v>4.6281131279020685E-2</v>
      </c>
      <c r="AB28" s="1">
        <v>157823</v>
      </c>
      <c r="AC28" s="1">
        <f t="shared" si="3"/>
        <v>0.44413395244125509</v>
      </c>
      <c r="AD28" s="1">
        <v>61.278341249999997</v>
      </c>
      <c r="AE28" s="1">
        <v>19538</v>
      </c>
      <c r="AF28">
        <f t="shared" si="114"/>
        <v>1.188009242368965</v>
      </c>
      <c r="AG28">
        <f t="shared" si="36"/>
        <v>0.12379691173022943</v>
      </c>
      <c r="AH28">
        <f t="shared" si="116"/>
        <v>7.2478129038986532E-3</v>
      </c>
      <c r="AI28">
        <v>84189</v>
      </c>
      <c r="AJ28">
        <f t="shared" si="37"/>
        <v>110287.59000000001</v>
      </c>
      <c r="AK28">
        <f t="shared" si="4"/>
        <v>0.30268636243127045</v>
      </c>
      <c r="AL28">
        <f t="shared" si="38"/>
        <v>40.567501634999999</v>
      </c>
      <c r="AM28">
        <f t="shared" si="39"/>
        <v>7.4613015401994807E-3</v>
      </c>
      <c r="AN28">
        <v>104.85</v>
      </c>
      <c r="AO28">
        <f t="shared" si="40"/>
        <v>104850</v>
      </c>
      <c r="AP28">
        <f t="shared" si="41"/>
        <v>134208</v>
      </c>
      <c r="AQ28">
        <f t="shared" si="5"/>
        <v>0.36236098398632721</v>
      </c>
      <c r="AR28">
        <f t="shared" si="42"/>
        <v>51.759606732800002</v>
      </c>
      <c r="AS28">
        <f t="shared" si="43"/>
        <v>7.0008449997882131E-3</v>
      </c>
      <c r="AT28" s="1">
        <v>17366</v>
      </c>
      <c r="AU28" s="1">
        <f t="shared" si="44"/>
        <v>4.5060613609000703E-2</v>
      </c>
      <c r="AV28" s="1">
        <f t="shared" si="45"/>
        <v>-2.6371820141165046E-2</v>
      </c>
      <c r="AW28" s="1">
        <v>138784</v>
      </c>
      <c r="AX28" s="1">
        <f t="shared" si="46"/>
        <v>169316.48000000001</v>
      </c>
      <c r="AY28" s="1">
        <f t="shared" si="6"/>
        <v>0.43933574127122516</v>
      </c>
      <c r="AZ28" s="1">
        <f t="shared" si="47"/>
        <v>-1.0803522549122346E-2</v>
      </c>
      <c r="BA28" s="1">
        <f t="shared" si="48"/>
        <v>60.4858519474</v>
      </c>
      <c r="BB28" s="1">
        <v>16496</v>
      </c>
      <c r="BC28" s="1">
        <f t="shared" si="49"/>
        <v>20125.12</v>
      </c>
      <c r="BD28" s="1">
        <f t="shared" si="50"/>
        <v>1.1588805712311412</v>
      </c>
      <c r="BE28" s="1">
        <f t="shared" si="51"/>
        <v>0.11886096379986164</v>
      </c>
      <c r="BF28" s="1">
        <f t="shared" si="52"/>
        <v>7.2634463618580164E-3</v>
      </c>
      <c r="BG28" s="1">
        <v>10101</v>
      </c>
      <c r="BH28" s="1">
        <f t="shared" si="53"/>
        <v>2.8425495989869144E-2</v>
      </c>
      <c r="BI28" s="1">
        <v>275215.67599999998</v>
      </c>
      <c r="BJ28" s="1">
        <f t="shared" si="7"/>
        <v>0.77449184184606723</v>
      </c>
      <c r="BK28" s="1">
        <v>101.2013381</v>
      </c>
      <c r="BL28" s="1">
        <v>16176.455</v>
      </c>
      <c r="BM28">
        <f t="shared" si="8"/>
        <v>1.6014706464706465</v>
      </c>
      <c r="BN28">
        <f t="shared" si="9"/>
        <v>5.8777375021326912E-2</v>
      </c>
      <c r="BO28">
        <f t="shared" si="54"/>
        <v>7.6529802509208841E-3</v>
      </c>
      <c r="BP28">
        <v>140195</v>
      </c>
      <c r="BQ28">
        <f t="shared" si="55"/>
        <v>183655.45</v>
      </c>
      <c r="BR28">
        <f t="shared" si="10"/>
        <v>0.50404583236589051</v>
      </c>
      <c r="BS28">
        <f t="shared" si="56"/>
        <v>59.525235619600004</v>
      </c>
      <c r="BT28">
        <f t="shared" si="57"/>
        <v>8.4677671095168619E-3</v>
      </c>
      <c r="BU28">
        <v>165.9</v>
      </c>
      <c r="BV28">
        <f t="shared" si="11"/>
        <v>165900</v>
      </c>
      <c r="BW28">
        <f t="shared" si="58"/>
        <v>212352</v>
      </c>
      <c r="BX28">
        <f t="shared" si="12"/>
        <v>0.57334942530597699</v>
      </c>
      <c r="BY28">
        <f t="shared" si="59"/>
        <v>76.247206297600002</v>
      </c>
      <c r="BZ28">
        <f t="shared" si="60"/>
        <v>7.5196122342914493E-3</v>
      </c>
      <c r="CA28" s="1">
        <v>9227</v>
      </c>
      <c r="CB28" s="1">
        <f t="shared" si="61"/>
        <v>2.3941856603146926E-2</v>
      </c>
      <c r="CC28" s="1">
        <f t="shared" si="62"/>
        <v>-0.15773302208412435</v>
      </c>
      <c r="CD28" s="1">
        <v>216835</v>
      </c>
      <c r="CE28" s="1">
        <f t="shared" si="63"/>
        <v>264538.7</v>
      </c>
      <c r="CF28">
        <f t="shared" si="13"/>
        <v>0.68641461161622452</v>
      </c>
      <c r="CG28">
        <f t="shared" si="64"/>
        <v>-0.11372260554727488</v>
      </c>
      <c r="CH28">
        <f t="shared" si="65"/>
        <v>90.917938902799989</v>
      </c>
      <c r="CI28" s="1">
        <v>13619</v>
      </c>
      <c r="CJ28" s="1">
        <f t="shared" si="66"/>
        <v>16615.18</v>
      </c>
      <c r="CK28">
        <f t="shared" si="67"/>
        <v>1.8007131245258481</v>
      </c>
      <c r="CL28">
        <f t="shared" si="68"/>
        <v>6.280812599441972E-2</v>
      </c>
      <c r="CM28">
        <f t="shared" si="69"/>
        <v>7.5498259188438895E-3</v>
      </c>
      <c r="CN28" s="1">
        <v>36860</v>
      </c>
      <c r="CO28" s="1">
        <f t="shared" si="70"/>
        <v>0.10372871816518925</v>
      </c>
      <c r="CP28" s="1">
        <v>283468610</v>
      </c>
      <c r="CQ28" s="1">
        <f t="shared" si="14"/>
        <v>797.71664556071482</v>
      </c>
      <c r="CR28" s="1">
        <v>108123.0123</v>
      </c>
      <c r="CS28" s="1">
        <v>42471467</v>
      </c>
      <c r="CT28">
        <f t="shared" si="71"/>
        <v>1152.2373033098208</v>
      </c>
      <c r="CU28">
        <f t="shared" si="72"/>
        <v>0.14982776047055085</v>
      </c>
      <c r="CV28">
        <f t="shared" si="73"/>
        <v>7.3778618315530854E-3</v>
      </c>
      <c r="CW28" s="1">
        <v>31114</v>
      </c>
      <c r="CX28" s="1">
        <f t="shared" si="74"/>
        <v>8.0733383152737995E-2</v>
      </c>
      <c r="CY28" s="1">
        <f t="shared" si="75"/>
        <v>-0.22168725709914686</v>
      </c>
      <c r="CZ28" s="1">
        <v>304527919</v>
      </c>
      <c r="DA28" s="1">
        <f t="shared" si="15"/>
        <v>371524061.18000001</v>
      </c>
      <c r="DB28" s="1">
        <f t="shared" si="16"/>
        <v>964.01601792460667</v>
      </c>
      <c r="DC28" s="1">
        <f t="shared" si="76"/>
        <v>0.20846922687315877</v>
      </c>
      <c r="DD28" s="1">
        <f t="shared" si="77"/>
        <v>93954.54819500001</v>
      </c>
      <c r="DE28" s="1">
        <v>32216403</v>
      </c>
      <c r="DF28" s="1">
        <f t="shared" si="78"/>
        <v>39304011.659999996</v>
      </c>
      <c r="DG28">
        <f t="shared" si="79"/>
        <v>1263.2259323777077</v>
      </c>
      <c r="DH28">
        <f t="shared" si="80"/>
        <v>0.10579129528022026</v>
      </c>
      <c r="DI28">
        <f t="shared" si="81"/>
        <v>1.0260450786520933E-2</v>
      </c>
      <c r="DJ28" s="1">
        <v>3463600</v>
      </c>
      <c r="DK28">
        <f t="shared" si="17"/>
        <v>9.7470099901505556</v>
      </c>
      <c r="DL28">
        <v>1889.3069949999999</v>
      </c>
      <c r="DM28" s="1">
        <v>660464</v>
      </c>
      <c r="DN28" s="3">
        <f t="shared" si="82"/>
        <v>5.1590398045133767E-3</v>
      </c>
      <c r="DO28" s="1">
        <v>2384953</v>
      </c>
      <c r="DP28" s="1">
        <f t="shared" si="83"/>
        <v>2909642.66</v>
      </c>
      <c r="DQ28" s="3">
        <f t="shared" si="18"/>
        <v>7.5498263067214681</v>
      </c>
      <c r="DR28" s="3">
        <f t="shared" si="84"/>
        <v>1905.8896083399998</v>
      </c>
      <c r="DS28" s="3">
        <f t="shared" si="85"/>
        <v>611264.95601728756</v>
      </c>
      <c r="DT28" s="3">
        <f t="shared" si="86"/>
        <v>3.9613135376173492E-3</v>
      </c>
      <c r="DU28" s="3">
        <f t="shared" si="87"/>
        <v>0.92550836384312785</v>
      </c>
      <c r="DV28" s="3">
        <f t="shared" si="88"/>
        <v>403.53538487868758</v>
      </c>
      <c r="DW28" s="3">
        <f t="shared" si="89"/>
        <v>0.10331040538276813</v>
      </c>
      <c r="DX28" s="3">
        <f t="shared" si="90"/>
        <v>287365248.676</v>
      </c>
      <c r="DY28" s="3">
        <f t="shared" si="91"/>
        <v>808.68228134515266</v>
      </c>
      <c r="DZ28" s="3">
        <f t="shared" si="92"/>
        <v>286932210</v>
      </c>
      <c r="EA28" s="3">
        <f t="shared" si="93"/>
        <v>293943.04000000004</v>
      </c>
      <c r="EB28" s="3">
        <f t="shared" si="94"/>
        <v>0.80673219479716096</v>
      </c>
      <c r="EC28" s="3">
        <f t="shared" si="95"/>
        <v>346560</v>
      </c>
      <c r="ED28" s="3">
        <f t="shared" si="96"/>
        <v>0.9357104092923042</v>
      </c>
      <c r="EE28" s="9">
        <f t="shared" si="97"/>
        <v>374867559.02000004</v>
      </c>
      <c r="EF28" s="13">
        <f t="shared" si="98"/>
        <v>972.69159458421564</v>
      </c>
      <c r="EG28" s="14">
        <f t="shared" si="99"/>
        <v>0.20281056852915313</v>
      </c>
      <c r="EH28" s="9">
        <f t="shared" si="100"/>
        <v>374433703.84000003</v>
      </c>
      <c r="EI28" s="10">
        <v>171144</v>
      </c>
      <c r="EJ28" s="10">
        <f t="shared" si="19"/>
        <v>224198.64</v>
      </c>
      <c r="EK28" s="10">
        <f t="shared" si="101"/>
        <v>0.61531737889673643</v>
      </c>
      <c r="EL28" s="10">
        <v>240000</v>
      </c>
      <c r="EM28" s="10">
        <f t="shared" si="20"/>
        <v>307200</v>
      </c>
      <c r="EN28" s="10">
        <f t="shared" si="102"/>
        <v>0.82943858995439712</v>
      </c>
      <c r="EO28" s="11">
        <v>2357894</v>
      </c>
      <c r="EP28" s="11">
        <f t="shared" si="21"/>
        <v>2876630.68</v>
      </c>
      <c r="EQ28" s="11">
        <f t="shared" si="103"/>
        <v>7.4641681197326362</v>
      </c>
      <c r="ER28" s="10">
        <f t="shared" si="104"/>
        <v>8.9089240885837704</v>
      </c>
      <c r="ES28" s="10">
        <f t="shared" si="115"/>
        <v>9.3640321614583346</v>
      </c>
      <c r="ET28" s="12">
        <v>238716</v>
      </c>
      <c r="EU28" s="12">
        <f t="shared" si="22"/>
        <v>312717.96000000002</v>
      </c>
      <c r="EV28" s="12">
        <f t="shared" si="105"/>
        <v>0.85826031541107684</v>
      </c>
      <c r="EW28" s="10">
        <v>28000</v>
      </c>
      <c r="EX28" s="10">
        <f t="shared" si="23"/>
        <v>35840</v>
      </c>
      <c r="EY28" s="10">
        <f t="shared" si="106"/>
        <v>9.6767835494679655E-2</v>
      </c>
      <c r="EZ28" s="3">
        <f t="shared" si="107"/>
        <v>262192.90052083338</v>
      </c>
      <c r="FA28" s="3">
        <f t="shared" si="108"/>
        <v>0.68032782341313103</v>
      </c>
      <c r="FB28" s="3">
        <f t="shared" si="109"/>
        <v>1.6353559743188875</v>
      </c>
      <c r="FC28" s="1">
        <f t="shared" si="110"/>
        <v>3.9222999999999999</v>
      </c>
      <c r="FD28">
        <f>39.3/10</f>
        <v>3.9299999999999997</v>
      </c>
      <c r="FE28">
        <f>4.6</f>
        <v>4.5999999999999996</v>
      </c>
      <c r="FF28" s="7">
        <f t="shared" si="111"/>
        <v>6.2749999999999995</v>
      </c>
      <c r="FG28" s="1">
        <f t="shared" si="112"/>
        <v>0.33499999999999996</v>
      </c>
      <c r="FH28">
        <v>2.63E-2</v>
      </c>
      <c r="FI28">
        <v>3.4000000000000002E-2</v>
      </c>
      <c r="FJ28">
        <v>4.41E-2</v>
      </c>
      <c r="FK28">
        <v>4.0899999999999999E-2</v>
      </c>
      <c r="FL28" s="1">
        <f t="shared" si="113"/>
        <v>2.5666666666666672E-3</v>
      </c>
    </row>
    <row r="29" spans="1:168">
      <c r="A29" t="s">
        <v>128</v>
      </c>
      <c r="B29" s="1" t="s">
        <v>77</v>
      </c>
      <c r="C29" s="1">
        <v>124670</v>
      </c>
      <c r="D29" s="6">
        <f t="shared" si="117"/>
        <v>132329.9</v>
      </c>
      <c r="E29" s="6">
        <f t="shared" si="118"/>
        <v>137436.5</v>
      </c>
      <c r="F29" s="1">
        <v>150203</v>
      </c>
      <c r="G29" s="1">
        <f t="shared" si="2"/>
        <v>2553.3000000000002</v>
      </c>
      <c r="H29" s="1">
        <v>1.31</v>
      </c>
      <c r="I29" s="1">
        <v>1.28</v>
      </c>
      <c r="J29" s="1">
        <v>1.22</v>
      </c>
      <c r="K29">
        <v>55752</v>
      </c>
      <c r="L29">
        <f t="shared" si="24"/>
        <v>0.44719659902141656</v>
      </c>
      <c r="M29" s="1">
        <v>59801</v>
      </c>
      <c r="N29">
        <f t="shared" si="25"/>
        <v>0.39813452461002774</v>
      </c>
      <c r="O29">
        <f t="shared" si="26"/>
        <v>-0.10971030307195875</v>
      </c>
      <c r="P29">
        <f t="shared" si="27"/>
        <v>0.10079059507081815</v>
      </c>
      <c r="Q29">
        <f t="shared" si="28"/>
        <v>9.0376954229427695E-2</v>
      </c>
      <c r="R29">
        <f t="shared" si="29"/>
        <v>486.36824195765746</v>
      </c>
      <c r="S29">
        <f t="shared" si="30"/>
        <v>321.40768428537564</v>
      </c>
      <c r="T29">
        <f t="shared" si="31"/>
        <v>394.91514523943209</v>
      </c>
      <c r="U29">
        <v>92297.113769999996</v>
      </c>
      <c r="V29">
        <f t="shared" si="32"/>
        <v>4.2787377536370403E-3</v>
      </c>
      <c r="W29">
        <f t="shared" si="33"/>
        <v>267.84380644860619</v>
      </c>
      <c r="X29">
        <v>79429.064259999999</v>
      </c>
      <c r="Y29">
        <f t="shared" si="34"/>
        <v>3.3721133308565331E-3</v>
      </c>
      <c r="Z29" s="1">
        <v>4768</v>
      </c>
      <c r="AA29" s="1">
        <f t="shared" si="35"/>
        <v>3.824496671212E-2</v>
      </c>
      <c r="AB29" s="1">
        <v>45489</v>
      </c>
      <c r="AC29" s="1">
        <f t="shared" si="3"/>
        <v>0.36487527071468678</v>
      </c>
      <c r="AD29" s="1">
        <v>61.278341249999997</v>
      </c>
      <c r="AE29" s="1">
        <v>5682</v>
      </c>
      <c r="AF29">
        <f t="shared" si="114"/>
        <v>1.1916946308724832</v>
      </c>
      <c r="AG29">
        <f t="shared" si="36"/>
        <v>0.12490931873639781</v>
      </c>
      <c r="AH29">
        <f t="shared" si="116"/>
        <v>5.9543920946895212E-3</v>
      </c>
      <c r="AI29">
        <v>26131</v>
      </c>
      <c r="AJ29">
        <f t="shared" si="37"/>
        <v>34231.61</v>
      </c>
      <c r="AK29">
        <f t="shared" si="4"/>
        <v>0.25868386509775948</v>
      </c>
      <c r="AL29">
        <f t="shared" si="38"/>
        <v>40.567501634999999</v>
      </c>
      <c r="AM29">
        <f t="shared" si="39"/>
        <v>6.3766279576501581E-3</v>
      </c>
      <c r="AN29">
        <v>34.770000000000003</v>
      </c>
      <c r="AO29">
        <f t="shared" si="40"/>
        <v>34770</v>
      </c>
      <c r="AP29">
        <f t="shared" si="41"/>
        <v>44505.599999999999</v>
      </c>
      <c r="AQ29">
        <f t="shared" si="5"/>
        <v>0.32382663993917188</v>
      </c>
      <c r="AR29">
        <f t="shared" si="42"/>
        <v>51.759606732800002</v>
      </c>
      <c r="AS29">
        <f t="shared" si="43"/>
        <v>6.2563581986020637E-3</v>
      </c>
      <c r="AT29" s="1">
        <v>6845</v>
      </c>
      <c r="AU29" s="1">
        <f t="shared" si="44"/>
        <v>4.5571659687223293E-2</v>
      </c>
      <c r="AV29" s="1">
        <f t="shared" si="45"/>
        <v>0.19157273766907035</v>
      </c>
      <c r="AW29" s="1">
        <v>52385</v>
      </c>
      <c r="AX29" s="1">
        <f t="shared" si="46"/>
        <v>63909.7</v>
      </c>
      <c r="AY29" s="1">
        <f t="shared" si="6"/>
        <v>0.42548883843864632</v>
      </c>
      <c r="AZ29" s="1">
        <f t="shared" si="47"/>
        <v>0.16612133676594421</v>
      </c>
      <c r="BA29" s="1">
        <f t="shared" si="48"/>
        <v>60.4858519474</v>
      </c>
      <c r="BB29" s="1">
        <v>6040</v>
      </c>
      <c r="BC29" s="1">
        <f t="shared" si="49"/>
        <v>7368.8</v>
      </c>
      <c r="BD29" s="1">
        <f t="shared" si="50"/>
        <v>1.0765230094959826</v>
      </c>
      <c r="BE29" s="1">
        <f t="shared" si="51"/>
        <v>0.11530018134962298</v>
      </c>
      <c r="BF29" s="1">
        <f t="shared" si="52"/>
        <v>7.0345183995864351E-3</v>
      </c>
      <c r="BG29" s="1">
        <v>1890</v>
      </c>
      <c r="BH29" s="1">
        <f t="shared" si="53"/>
        <v>1.5160022459292532E-2</v>
      </c>
      <c r="BI29" s="1">
        <v>74646.157000000007</v>
      </c>
      <c r="BJ29" s="1">
        <f t="shared" si="7"/>
        <v>0.59874995588353253</v>
      </c>
      <c r="BK29" s="1">
        <v>101.2013381</v>
      </c>
      <c r="BL29" s="1">
        <v>3293.8879999999999</v>
      </c>
      <c r="BM29">
        <f t="shared" si="8"/>
        <v>1.7427978835978835</v>
      </c>
      <c r="BN29">
        <f t="shared" si="9"/>
        <v>4.4126692282363572E-2</v>
      </c>
      <c r="BO29">
        <f t="shared" si="54"/>
        <v>5.9164233114377416E-3</v>
      </c>
      <c r="BP29">
        <v>31275</v>
      </c>
      <c r="BQ29">
        <f t="shared" si="55"/>
        <v>40970.25</v>
      </c>
      <c r="BR29">
        <f t="shared" si="10"/>
        <v>0.30960689912106032</v>
      </c>
      <c r="BS29">
        <f t="shared" si="56"/>
        <v>59.525235619600004</v>
      </c>
      <c r="BT29">
        <f t="shared" si="57"/>
        <v>5.2012712910474461E-3</v>
      </c>
      <c r="BU29">
        <v>42.28</v>
      </c>
      <c r="BV29">
        <f t="shared" si="11"/>
        <v>42280</v>
      </c>
      <c r="BW29">
        <f t="shared" si="58"/>
        <v>54118.400000000001</v>
      </c>
      <c r="BX29">
        <f t="shared" si="12"/>
        <v>0.39377021388059213</v>
      </c>
      <c r="BY29">
        <f t="shared" si="59"/>
        <v>76.247206297600002</v>
      </c>
      <c r="BZ29">
        <f t="shared" si="60"/>
        <v>5.1643887428959694E-3</v>
      </c>
      <c r="CA29" s="1">
        <v>2625</v>
      </c>
      <c r="CB29" s="1">
        <f t="shared" si="61"/>
        <v>1.7476348674793446E-2</v>
      </c>
      <c r="CC29" s="1">
        <f t="shared" si="62"/>
        <v>0.15279174036322699</v>
      </c>
      <c r="CD29" s="1">
        <v>72471</v>
      </c>
      <c r="CE29" s="1">
        <f t="shared" si="63"/>
        <v>88414.62</v>
      </c>
      <c r="CF29">
        <f t="shared" si="13"/>
        <v>0.58863418174071092</v>
      </c>
      <c r="CG29">
        <f t="shared" si="64"/>
        <v>-1.6894822360186208E-2</v>
      </c>
      <c r="CH29">
        <f t="shared" si="65"/>
        <v>90.917938902799989</v>
      </c>
      <c r="CI29" s="1">
        <v>3714</v>
      </c>
      <c r="CJ29" s="1">
        <f t="shared" si="66"/>
        <v>4531.08</v>
      </c>
      <c r="CK29">
        <f t="shared" si="67"/>
        <v>1.7261257142857143</v>
      </c>
      <c r="CL29">
        <f t="shared" si="68"/>
        <v>5.1248085441072982E-2</v>
      </c>
      <c r="CM29">
        <f t="shared" si="69"/>
        <v>6.4743458644615495E-3</v>
      </c>
      <c r="CN29" s="1">
        <v>4253</v>
      </c>
      <c r="CO29" s="1">
        <f t="shared" si="70"/>
        <v>3.4114061121360388E-2</v>
      </c>
      <c r="CP29" s="1">
        <v>49113936</v>
      </c>
      <c r="CQ29" s="1">
        <f t="shared" si="14"/>
        <v>393.9515200128339</v>
      </c>
      <c r="CR29" s="1">
        <v>108123.0123</v>
      </c>
      <c r="CS29" s="1">
        <v>5297788</v>
      </c>
      <c r="CT29">
        <f t="shared" si="71"/>
        <v>1245.6590641899836</v>
      </c>
      <c r="CU29">
        <f t="shared" si="72"/>
        <v>0.10786730674568619</v>
      </c>
      <c r="CV29">
        <f t="shared" si="73"/>
        <v>3.6435492466651699E-3</v>
      </c>
      <c r="CW29" s="1">
        <v>3187</v>
      </c>
      <c r="CX29" s="1">
        <f t="shared" si="74"/>
        <v>2.1217951705358749E-2</v>
      </c>
      <c r="CY29" s="1">
        <f t="shared" si="75"/>
        <v>-0.37802914669478593</v>
      </c>
      <c r="CZ29" s="1">
        <v>32851327</v>
      </c>
      <c r="DA29" s="1">
        <f t="shared" si="15"/>
        <v>40078618.939999998</v>
      </c>
      <c r="DB29" s="1">
        <f t="shared" si="16"/>
        <v>266.82968342842685</v>
      </c>
      <c r="DC29" s="1">
        <f t="shared" si="76"/>
        <v>-0.32268396014886747</v>
      </c>
      <c r="DD29" s="1">
        <f t="shared" si="77"/>
        <v>93954.54819500001</v>
      </c>
      <c r="DE29" s="1">
        <v>3324719</v>
      </c>
      <c r="DF29" s="1">
        <f t="shared" si="78"/>
        <v>4056157.1799999997</v>
      </c>
      <c r="DG29">
        <f t="shared" si="79"/>
        <v>1272.7195418889237</v>
      </c>
      <c r="DH29">
        <f t="shared" si="80"/>
        <v>0.10120501372745155</v>
      </c>
      <c r="DI29">
        <f t="shared" si="81"/>
        <v>2.8399868718928791E-3</v>
      </c>
      <c r="DJ29" s="1">
        <v>7043123</v>
      </c>
      <c r="DK29">
        <f t="shared" si="17"/>
        <v>56.494128499237988</v>
      </c>
      <c r="DL29">
        <v>1889.3069949999999</v>
      </c>
      <c r="DM29" s="1">
        <v>365448</v>
      </c>
      <c r="DN29" s="3">
        <f t="shared" si="82"/>
        <v>2.990203743952051E-2</v>
      </c>
      <c r="DO29" s="1">
        <v>3918986</v>
      </c>
      <c r="DP29" s="1">
        <f t="shared" si="83"/>
        <v>4781162.92</v>
      </c>
      <c r="DQ29" s="3">
        <f t="shared" si="18"/>
        <v>31.831341051776594</v>
      </c>
      <c r="DR29" s="3">
        <f t="shared" si="84"/>
        <v>1905.8896083399998</v>
      </c>
      <c r="DS29" s="3">
        <f t="shared" si="85"/>
        <v>280144.9900238862</v>
      </c>
      <c r="DT29" s="3">
        <f t="shared" si="86"/>
        <v>1.6701565983929783E-2</v>
      </c>
      <c r="DU29" s="3">
        <f t="shared" si="87"/>
        <v>0.76657962288447667</v>
      </c>
      <c r="DV29" s="3">
        <f t="shared" si="88"/>
        <v>420.68595788619319</v>
      </c>
      <c r="DW29" s="3">
        <f t="shared" si="89"/>
        <v>9.0776099713765837E-2</v>
      </c>
      <c r="DX29" s="3">
        <f t="shared" si="90"/>
        <v>56277194.156999998</v>
      </c>
      <c r="DY29" s="3">
        <f t="shared" si="91"/>
        <v>451.40927373867009</v>
      </c>
      <c r="DZ29" s="3">
        <f t="shared" si="92"/>
        <v>56157059</v>
      </c>
      <c r="EA29" s="3">
        <f t="shared" si="93"/>
        <v>75201.86</v>
      </c>
      <c r="EB29" s="3">
        <f t="shared" si="94"/>
        <v>0.56829076421881985</v>
      </c>
      <c r="EC29" s="3">
        <f t="shared" si="95"/>
        <v>98624</v>
      </c>
      <c r="ED29" s="3">
        <f t="shared" si="96"/>
        <v>0.71759685381976401</v>
      </c>
      <c r="EE29" s="9">
        <f t="shared" si="97"/>
        <v>45012106.18</v>
      </c>
      <c r="EF29" s="13">
        <f t="shared" si="98"/>
        <v>299.67514750038282</v>
      </c>
      <c r="EG29" s="14">
        <f t="shared" si="99"/>
        <v>-0.33613426897855275</v>
      </c>
      <c r="EH29" s="9">
        <f t="shared" si="100"/>
        <v>44859781.859999999</v>
      </c>
      <c r="EI29" s="10">
        <v>208710</v>
      </c>
      <c r="EJ29" s="10">
        <f t="shared" si="19"/>
        <v>273410.10000000003</v>
      </c>
      <c r="EK29" s="10">
        <f t="shared" si="101"/>
        <v>2.0661248893862991</v>
      </c>
      <c r="EL29" s="10">
        <v>59000</v>
      </c>
      <c r="EM29" s="10">
        <f t="shared" si="20"/>
        <v>75520</v>
      </c>
      <c r="EN29" s="10">
        <f t="shared" si="102"/>
        <v>0.54949012816828136</v>
      </c>
      <c r="EO29" s="11">
        <v>218000</v>
      </c>
      <c r="EP29" s="11">
        <f t="shared" si="21"/>
        <v>265960</v>
      </c>
      <c r="EQ29" s="11">
        <f t="shared" si="103"/>
        <v>1.7706703594468818</v>
      </c>
      <c r="ER29" s="10">
        <f t="shared" si="104"/>
        <v>4.386285377001462</v>
      </c>
      <c r="ES29" s="10">
        <f t="shared" si="115"/>
        <v>3.5217161016949152</v>
      </c>
      <c r="ET29" s="12">
        <v>1768961</v>
      </c>
      <c r="EU29" s="12">
        <f t="shared" si="22"/>
        <v>2317338.91</v>
      </c>
      <c r="EV29" s="12">
        <f t="shared" si="105"/>
        <v>17.511831490842209</v>
      </c>
      <c r="EW29" s="10">
        <v>368000</v>
      </c>
      <c r="EX29" s="10">
        <f t="shared" si="23"/>
        <v>471040</v>
      </c>
      <c r="EY29" s="10">
        <f t="shared" si="106"/>
        <v>3.4273282570496191</v>
      </c>
      <c r="EZ29" s="3">
        <f t="shared" si="107"/>
        <v>1295991.5254237289</v>
      </c>
      <c r="FA29" s="3">
        <f t="shared" si="108"/>
        <v>8.6282665820504842</v>
      </c>
      <c r="FB29" s="3">
        <f t="shared" si="109"/>
        <v>29.567426329942315</v>
      </c>
      <c r="FC29" s="1">
        <f t="shared" si="110"/>
        <v>3.1023000000000005</v>
      </c>
      <c r="FD29">
        <f>31.1/10</f>
        <v>3.1100000000000003</v>
      </c>
      <c r="FE29">
        <f>3.7</f>
        <v>3.7</v>
      </c>
      <c r="FF29" s="7">
        <f t="shared" si="111"/>
        <v>5.1749999999999998</v>
      </c>
      <c r="FG29" s="1">
        <f t="shared" si="112"/>
        <v>0.29499999999999993</v>
      </c>
      <c r="FH29">
        <v>2.63E-2</v>
      </c>
      <c r="FI29">
        <v>3.4000000000000002E-2</v>
      </c>
      <c r="FJ29">
        <v>4.41E-2</v>
      </c>
      <c r="FK29">
        <v>4.0899999999999999E-2</v>
      </c>
      <c r="FL29" s="1">
        <f t="shared" si="113"/>
        <v>2.5666666666666672E-3</v>
      </c>
    </row>
    <row r="30" spans="1:168">
      <c r="A30" t="s">
        <v>128</v>
      </c>
      <c r="B30" s="1" t="s">
        <v>78</v>
      </c>
      <c r="C30" s="1">
        <v>458762</v>
      </c>
      <c r="D30" s="6">
        <f t="shared" si="117"/>
        <v>469494.5</v>
      </c>
      <c r="E30" s="6">
        <f t="shared" si="118"/>
        <v>476649.5</v>
      </c>
      <c r="F30" s="1">
        <v>494537</v>
      </c>
      <c r="G30" s="1">
        <f t="shared" si="2"/>
        <v>3577.5</v>
      </c>
      <c r="H30" s="1">
        <v>1.31</v>
      </c>
      <c r="I30" s="1">
        <v>1.28</v>
      </c>
      <c r="J30" s="1">
        <v>1.22</v>
      </c>
      <c r="K30">
        <v>204433</v>
      </c>
      <c r="L30">
        <f t="shared" si="24"/>
        <v>0.44561886119600141</v>
      </c>
      <c r="M30" s="1">
        <v>177312</v>
      </c>
      <c r="N30">
        <f t="shared" si="25"/>
        <v>0.35854142359419011</v>
      </c>
      <c r="O30">
        <f t="shared" si="26"/>
        <v>-0.19540788145300492</v>
      </c>
      <c r="P30">
        <f t="shared" si="27"/>
        <v>0.14249207467098898</v>
      </c>
      <c r="Q30">
        <f t="shared" si="28"/>
        <v>0.12515766800431682</v>
      </c>
      <c r="R30">
        <f t="shared" si="29"/>
        <v>399.13311776134606</v>
      </c>
      <c r="S30">
        <f t="shared" si="30"/>
        <v>337.61446611214342</v>
      </c>
      <c r="T30">
        <f t="shared" si="31"/>
        <v>325.12118227534103</v>
      </c>
      <c r="U30">
        <v>92297.113769999996</v>
      </c>
      <c r="V30">
        <f t="shared" si="32"/>
        <v>3.5225498284326365E-3</v>
      </c>
      <c r="W30">
        <f t="shared" si="33"/>
        <v>313.66479579889875</v>
      </c>
      <c r="X30">
        <v>79429.064259999999</v>
      </c>
      <c r="Y30">
        <f t="shared" si="34"/>
        <v>3.9489927109321171E-3</v>
      </c>
      <c r="Z30" s="1">
        <v>19999</v>
      </c>
      <c r="AA30" s="1">
        <f t="shared" si="35"/>
        <v>4.3593410090635235E-2</v>
      </c>
      <c r="AB30" s="1">
        <v>162948</v>
      </c>
      <c r="AC30" s="1">
        <f t="shared" si="3"/>
        <v>0.3551907089078869</v>
      </c>
      <c r="AD30" s="1">
        <v>61.278341249999997</v>
      </c>
      <c r="AE30" s="1">
        <v>20798</v>
      </c>
      <c r="AF30">
        <f t="shared" si="114"/>
        <v>1.0399519975998799</v>
      </c>
      <c r="AG30">
        <f t="shared" si="36"/>
        <v>0.12763581019711809</v>
      </c>
      <c r="AH30">
        <f t="shared" si="116"/>
        <v>5.7963499282527812E-3</v>
      </c>
      <c r="AI30">
        <v>103386</v>
      </c>
      <c r="AJ30">
        <f t="shared" si="37"/>
        <v>135435.66</v>
      </c>
      <c r="AK30">
        <f t="shared" si="4"/>
        <v>0.28847123874720576</v>
      </c>
      <c r="AL30">
        <f t="shared" si="38"/>
        <v>40.567501634999999</v>
      </c>
      <c r="AM30">
        <f t="shared" si="39"/>
        <v>7.110894857235291E-3</v>
      </c>
      <c r="AN30">
        <v>123.52</v>
      </c>
      <c r="AO30">
        <f t="shared" si="40"/>
        <v>123520</v>
      </c>
      <c r="AP30">
        <f t="shared" si="41"/>
        <v>158105.60000000001</v>
      </c>
      <c r="AQ30">
        <f t="shared" si="5"/>
        <v>0.33170201584182929</v>
      </c>
      <c r="AR30">
        <f t="shared" si="42"/>
        <v>51.759606732800002</v>
      </c>
      <c r="AS30">
        <f t="shared" si="43"/>
        <v>6.4085111301981764E-3</v>
      </c>
      <c r="AT30" s="1">
        <v>23456</v>
      </c>
      <c r="AU30" s="1">
        <f t="shared" si="44"/>
        <v>4.7430222612261569E-2</v>
      </c>
      <c r="AV30" s="1">
        <f t="shared" si="45"/>
        <v>8.8013589981816104E-2</v>
      </c>
      <c r="AW30" s="1">
        <v>157062</v>
      </c>
      <c r="AX30" s="1">
        <f t="shared" si="46"/>
        <v>191615.63999999998</v>
      </c>
      <c r="AY30" s="1">
        <f t="shared" si="6"/>
        <v>0.38746471952553596</v>
      </c>
      <c r="AZ30" s="1">
        <f t="shared" si="47"/>
        <v>9.0863893137528032E-2</v>
      </c>
      <c r="BA30" s="1">
        <f t="shared" si="48"/>
        <v>60.4858519474</v>
      </c>
      <c r="BB30" s="1">
        <v>19141</v>
      </c>
      <c r="BC30" s="1">
        <f t="shared" si="49"/>
        <v>23352.02</v>
      </c>
      <c r="BD30" s="1">
        <f t="shared" si="50"/>
        <v>0.99556701909959078</v>
      </c>
      <c r="BE30" s="1">
        <f t="shared" si="51"/>
        <v>0.12186907081280006</v>
      </c>
      <c r="BF30" s="1">
        <f t="shared" si="52"/>
        <v>6.4058735563894331E-3</v>
      </c>
      <c r="BG30" s="1">
        <v>10423</v>
      </c>
      <c r="BH30" s="1">
        <f t="shared" si="53"/>
        <v>2.2719841660817593E-2</v>
      </c>
      <c r="BI30" s="1">
        <v>601980.82299999997</v>
      </c>
      <c r="BJ30" s="1">
        <f t="shared" si="7"/>
        <v>1.3121854534595281</v>
      </c>
      <c r="BK30" s="1">
        <v>101.2013381</v>
      </c>
      <c r="BL30" s="1">
        <v>18746.105</v>
      </c>
      <c r="BM30">
        <f t="shared" si="8"/>
        <v>1.7985325721961047</v>
      </c>
      <c r="BN30">
        <f t="shared" si="9"/>
        <v>3.1140701304366965E-2</v>
      </c>
      <c r="BO30">
        <f t="shared" si="54"/>
        <v>1.2966087979616627E-2</v>
      </c>
      <c r="BP30">
        <v>324432</v>
      </c>
      <c r="BQ30">
        <f t="shared" si="55"/>
        <v>425005.92000000004</v>
      </c>
      <c r="BR30">
        <f t="shared" si="10"/>
        <v>0.90524153105094962</v>
      </c>
      <c r="BS30">
        <f t="shared" si="56"/>
        <v>59.525235619600004</v>
      </c>
      <c r="BT30">
        <f t="shared" si="57"/>
        <v>1.5207693369514001E-2</v>
      </c>
      <c r="BU30">
        <v>414.19</v>
      </c>
      <c r="BV30">
        <f t="shared" si="11"/>
        <v>414190</v>
      </c>
      <c r="BW30">
        <f t="shared" si="58"/>
        <v>530163.19999999995</v>
      </c>
      <c r="BX30">
        <f t="shared" si="12"/>
        <v>1.1122705468064058</v>
      </c>
      <c r="BY30">
        <f t="shared" si="59"/>
        <v>76.247206297600002</v>
      </c>
      <c r="BZ30">
        <f t="shared" si="60"/>
        <v>1.4587689186474708E-2</v>
      </c>
      <c r="CA30" s="1">
        <v>14424</v>
      </c>
      <c r="CB30" s="1">
        <f t="shared" si="61"/>
        <v>2.91666750920558E-2</v>
      </c>
      <c r="CC30" s="1">
        <f t="shared" si="62"/>
        <v>0.28375344896687155</v>
      </c>
      <c r="CD30" s="1">
        <v>437639</v>
      </c>
      <c r="CE30" s="1">
        <f t="shared" si="63"/>
        <v>533919.57999999996</v>
      </c>
      <c r="CF30">
        <f t="shared" si="13"/>
        <v>1.0796352547938779</v>
      </c>
      <c r="CG30">
        <f t="shared" si="64"/>
        <v>-0.17722357617403869</v>
      </c>
      <c r="CH30">
        <f t="shared" si="65"/>
        <v>90.917938902799989</v>
      </c>
      <c r="CI30" s="1">
        <v>21440</v>
      </c>
      <c r="CJ30" s="1">
        <f t="shared" si="66"/>
        <v>26156.799999999999</v>
      </c>
      <c r="CK30">
        <f t="shared" si="67"/>
        <v>1.8134220743205767</v>
      </c>
      <c r="CL30">
        <f t="shared" si="68"/>
        <v>4.8990149415385743E-2</v>
      </c>
      <c r="CM30">
        <f t="shared" si="69"/>
        <v>1.1874832049900644E-2</v>
      </c>
      <c r="CN30" s="1">
        <v>22592</v>
      </c>
      <c r="CO30" s="1">
        <f t="shared" si="70"/>
        <v>4.9245578317297423E-2</v>
      </c>
      <c r="CP30" s="1">
        <v>148388315</v>
      </c>
      <c r="CQ30" s="1">
        <f t="shared" si="14"/>
        <v>323.45380611297361</v>
      </c>
      <c r="CR30" s="1">
        <v>108123.0123</v>
      </c>
      <c r="CS30" s="1">
        <v>21120099</v>
      </c>
      <c r="CT30">
        <f t="shared" si="71"/>
        <v>934.84857471671387</v>
      </c>
      <c r="CU30">
        <f t="shared" si="72"/>
        <v>0.14232993345870934</v>
      </c>
      <c r="CV30">
        <f t="shared" si="73"/>
        <v>2.9915352821979564E-3</v>
      </c>
      <c r="CW30" s="1">
        <v>19707</v>
      </c>
      <c r="CX30" s="1">
        <f t="shared" si="74"/>
        <v>3.9849394484133646E-2</v>
      </c>
      <c r="CY30" s="1">
        <f t="shared" si="75"/>
        <v>-0.19080258886640761</v>
      </c>
      <c r="CZ30" s="1">
        <v>126551895</v>
      </c>
      <c r="DA30" s="1">
        <f t="shared" si="15"/>
        <v>154393311.90000001</v>
      </c>
      <c r="DB30" s="1">
        <f t="shared" si="16"/>
        <v>312.19769582457934</v>
      </c>
      <c r="DC30" s="1">
        <f t="shared" si="76"/>
        <v>-3.4799745978140742E-2</v>
      </c>
      <c r="DD30" s="1">
        <f t="shared" si="77"/>
        <v>93954.54819500001</v>
      </c>
      <c r="DE30" s="1">
        <v>15895652</v>
      </c>
      <c r="DF30" s="1">
        <f t="shared" si="78"/>
        <v>19392695.440000001</v>
      </c>
      <c r="DG30">
        <f t="shared" si="79"/>
        <v>984.0511209215</v>
      </c>
      <c r="DH30">
        <f t="shared" si="80"/>
        <v>0.12560579989734647</v>
      </c>
      <c r="DI30">
        <f t="shared" si="81"/>
        <v>3.3228587846180885E-3</v>
      </c>
      <c r="DJ30" s="1">
        <v>70186</v>
      </c>
      <c r="DK30">
        <f t="shared" si="17"/>
        <v>0.15299000353124279</v>
      </c>
      <c r="DL30">
        <v>1889.3069949999999</v>
      </c>
      <c r="DM30" s="1">
        <v>103513</v>
      </c>
      <c r="DN30" s="3">
        <f t="shared" si="82"/>
        <v>8.0976783516986228E-5</v>
      </c>
      <c r="DO30" s="1">
        <v>182662</v>
      </c>
      <c r="DP30" s="1">
        <f t="shared" si="83"/>
        <v>222847.63999999998</v>
      </c>
      <c r="DQ30" s="3">
        <f t="shared" si="18"/>
        <v>0.45061874035714211</v>
      </c>
      <c r="DR30" s="3">
        <f t="shared" si="84"/>
        <v>1905.8896083399998</v>
      </c>
      <c r="DS30" s="3">
        <f t="shared" si="85"/>
        <v>95111.287065603843</v>
      </c>
      <c r="DT30" s="3">
        <f t="shared" si="86"/>
        <v>2.3643485875849023E-4</v>
      </c>
      <c r="DU30" s="3">
        <f t="shared" si="87"/>
        <v>0.91883422435446604</v>
      </c>
      <c r="DV30" s="3">
        <f t="shared" si="88"/>
        <v>320.75786155023837</v>
      </c>
      <c r="DW30" s="3">
        <f t="shared" si="89"/>
        <v>9.9595244180954445E-2</v>
      </c>
      <c r="DX30" s="3">
        <f t="shared" si="90"/>
        <v>149223429.82300001</v>
      </c>
      <c r="DY30" s="3">
        <f t="shared" si="91"/>
        <v>325.2741722788723</v>
      </c>
      <c r="DZ30" s="3">
        <f t="shared" si="92"/>
        <v>148458501</v>
      </c>
      <c r="EA30" s="3">
        <f t="shared" si="93"/>
        <v>560441.58000000007</v>
      </c>
      <c r="EB30" s="3">
        <f t="shared" si="94"/>
        <v>1.1937127697981553</v>
      </c>
      <c r="EC30" s="3">
        <f t="shared" si="95"/>
        <v>688268.79999999993</v>
      </c>
      <c r="ED30" s="3">
        <f t="shared" si="96"/>
        <v>1.4439725626482351</v>
      </c>
      <c r="EE30" s="9">
        <f t="shared" si="97"/>
        <v>155341694.75999999</v>
      </c>
      <c r="EF30" s="13">
        <f t="shared" si="98"/>
        <v>314.11541453925588</v>
      </c>
      <c r="EG30" s="14">
        <f t="shared" si="99"/>
        <v>-3.4305698670872367E-2</v>
      </c>
      <c r="EH30" s="9">
        <f t="shared" si="100"/>
        <v>154616159.53999999</v>
      </c>
      <c r="EI30" s="10">
        <v>1240668</v>
      </c>
      <c r="EJ30" s="10">
        <f t="shared" si="19"/>
        <v>1625275.08</v>
      </c>
      <c r="EK30" s="10">
        <f t="shared" si="101"/>
        <v>3.4617553134275272</v>
      </c>
      <c r="EL30" s="10">
        <v>1269000</v>
      </c>
      <c r="EM30" s="10">
        <f t="shared" si="20"/>
        <v>1624320</v>
      </c>
      <c r="EN30" s="10">
        <f t="shared" si="102"/>
        <v>3.4077870636599847</v>
      </c>
      <c r="EO30" s="11">
        <v>8577342</v>
      </c>
      <c r="EP30" s="11">
        <f t="shared" si="21"/>
        <v>10464357.24</v>
      </c>
      <c r="EQ30" s="11">
        <f t="shared" si="103"/>
        <v>21.159907630773834</v>
      </c>
      <c r="ER30" s="10">
        <f t="shared" si="104"/>
        <v>28.029450007861346</v>
      </c>
      <c r="ES30" s="10">
        <f t="shared" si="115"/>
        <v>6.442300310283688</v>
      </c>
      <c r="ET30" s="12">
        <v>0</v>
      </c>
      <c r="EU30" s="12">
        <f t="shared" si="22"/>
        <v>0</v>
      </c>
      <c r="EV30" s="12">
        <f t="shared" si="105"/>
        <v>0</v>
      </c>
      <c r="EW30" s="10">
        <v>0</v>
      </c>
      <c r="EX30" s="10">
        <f t="shared" si="23"/>
        <v>0</v>
      </c>
      <c r="EY30" s="10">
        <f t="shared" si="106"/>
        <v>0</v>
      </c>
      <c r="EZ30" s="3">
        <f t="shared" si="107"/>
        <v>0</v>
      </c>
      <c r="FA30" s="3">
        <f t="shared" si="108"/>
        <v>0</v>
      </c>
      <c r="FB30" s="3">
        <f t="shared" si="109"/>
        <v>0</v>
      </c>
      <c r="FC30" s="1">
        <f t="shared" si="110"/>
        <v>4.1223000000000001</v>
      </c>
      <c r="FD30">
        <f>41.3/10</f>
        <v>4.13</v>
      </c>
      <c r="FE30">
        <f>4.5</f>
        <v>4.5</v>
      </c>
      <c r="FF30" s="7">
        <f t="shared" si="111"/>
        <v>5.4250000000000007</v>
      </c>
      <c r="FG30" s="1">
        <f t="shared" si="112"/>
        <v>0.18500000000000005</v>
      </c>
      <c r="FH30">
        <v>2.63E-2</v>
      </c>
      <c r="FI30">
        <v>3.4000000000000002E-2</v>
      </c>
      <c r="FJ30">
        <v>4.41E-2</v>
      </c>
      <c r="FK30">
        <v>4.0899999999999999E-2</v>
      </c>
      <c r="FL30" s="1">
        <f t="shared" si="113"/>
        <v>2.5666666666666672E-3</v>
      </c>
    </row>
    <row r="31" spans="1:168">
      <c r="A31" t="s">
        <v>108</v>
      </c>
      <c r="B31" s="1" t="s">
        <v>4</v>
      </c>
      <c r="C31" s="1">
        <v>364590</v>
      </c>
      <c r="D31" s="6">
        <f t="shared" si="117"/>
        <v>364604.1</v>
      </c>
      <c r="E31" s="6">
        <f t="shared" si="118"/>
        <v>364613.5</v>
      </c>
      <c r="F31" s="1">
        <v>364637</v>
      </c>
      <c r="G31" s="1">
        <f t="shared" ref="G31:G58" si="119">(F31-C31)/10</f>
        <v>4.7</v>
      </c>
      <c r="H31" s="1">
        <v>1.31</v>
      </c>
      <c r="I31" s="1">
        <v>1.28</v>
      </c>
      <c r="J31" s="1">
        <v>1.22</v>
      </c>
      <c r="K31">
        <v>158198</v>
      </c>
      <c r="L31">
        <f t="shared" si="24"/>
        <v>0.43390657999396581</v>
      </c>
      <c r="M31" s="1">
        <v>133705</v>
      </c>
      <c r="N31">
        <f t="shared" si="25"/>
        <v>0.36667973902812934</v>
      </c>
      <c r="O31">
        <f t="shared" si="26"/>
        <v>-0.15493390528157322</v>
      </c>
      <c r="P31">
        <f t="shared" si="27"/>
        <v>0.24472254784349218</v>
      </c>
      <c r="Q31">
        <f t="shared" si="28"/>
        <v>0.2467143622770902</v>
      </c>
      <c r="R31">
        <f t="shared" si="29"/>
        <v>854.29839576755796</v>
      </c>
      <c r="S31">
        <f t="shared" si="30"/>
        <v>864.24287365399323</v>
      </c>
      <c r="T31">
        <f t="shared" si="31"/>
        <v>877.47643286705613</v>
      </c>
      <c r="U31">
        <v>92297.113769999996</v>
      </c>
      <c r="V31">
        <f t="shared" si="32"/>
        <v>9.5070842090868145E-3</v>
      </c>
      <c r="W31">
        <f t="shared" si="33"/>
        <v>756.57997690854177</v>
      </c>
      <c r="X31">
        <v>79429.064259999999</v>
      </c>
      <c r="Y31">
        <f t="shared" si="34"/>
        <v>9.5252283777633642E-3</v>
      </c>
      <c r="Z31" s="1">
        <v>11588</v>
      </c>
      <c r="AA31" s="1">
        <f t="shared" si="35"/>
        <v>3.1783647384733535E-2</v>
      </c>
      <c r="AB31" s="1">
        <v>137287</v>
      </c>
      <c r="AC31" s="1">
        <f t="shared" ref="AC31:AC58" si="120">AB31/C31</f>
        <v>0.37655174305384131</v>
      </c>
      <c r="AD31" s="1">
        <v>61.278341249999997</v>
      </c>
      <c r="AE31" s="1">
        <v>14363</v>
      </c>
      <c r="AF31">
        <f t="shared" si="114"/>
        <v>1.2394718674490852</v>
      </c>
      <c r="AG31">
        <f t="shared" si="36"/>
        <v>0.10462024809341015</v>
      </c>
      <c r="AH31">
        <f t="shared" si="116"/>
        <v>6.144940208443409E-3</v>
      </c>
      <c r="AI31">
        <v>82304</v>
      </c>
      <c r="AJ31">
        <f t="shared" si="37"/>
        <v>107818.24000000001</v>
      </c>
      <c r="AK31">
        <f t="shared" ref="AK31:AK58" si="121">AJ31/D31</f>
        <v>0.29571318589121737</v>
      </c>
      <c r="AL31">
        <f t="shared" si="38"/>
        <v>40.567501634999999</v>
      </c>
      <c r="AM31">
        <f t="shared" si="39"/>
        <v>7.2894108331307246E-3</v>
      </c>
      <c r="AN31">
        <v>96.15</v>
      </c>
      <c r="AO31">
        <f t="shared" si="40"/>
        <v>96150</v>
      </c>
      <c r="AP31">
        <f t="shared" si="41"/>
        <v>123072</v>
      </c>
      <c r="AQ31">
        <f t="shared" ref="AQ31:AQ58" si="122">AP31/E31</f>
        <v>0.33754098518019765</v>
      </c>
      <c r="AR31">
        <f t="shared" si="42"/>
        <v>51.759606732800002</v>
      </c>
      <c r="AS31">
        <f t="shared" si="43"/>
        <v>6.521320513942358E-3</v>
      </c>
      <c r="AT31" s="1">
        <v>13335</v>
      </c>
      <c r="AU31" s="1">
        <f t="shared" si="44"/>
        <v>3.6570616805206277E-2</v>
      </c>
      <c r="AV31" s="1">
        <f t="shared" si="45"/>
        <v>0.15061107878927832</v>
      </c>
      <c r="AW31" s="1">
        <v>119420</v>
      </c>
      <c r="AX31" s="1">
        <f t="shared" si="46"/>
        <v>145692.4</v>
      </c>
      <c r="AY31" s="1">
        <f t="shared" ref="AY31:AY58" si="123">AX31/F31</f>
        <v>0.39955462555911769</v>
      </c>
      <c r="AZ31" s="1">
        <f t="shared" si="47"/>
        <v>6.1088238016700158E-2</v>
      </c>
      <c r="BA31" s="1">
        <f t="shared" si="48"/>
        <v>60.4858519474</v>
      </c>
      <c r="BB31" s="1">
        <v>12459</v>
      </c>
      <c r="BC31" s="1">
        <f t="shared" si="49"/>
        <v>15199.98</v>
      </c>
      <c r="BD31" s="1">
        <f t="shared" si="50"/>
        <v>1.1398560179977502</v>
      </c>
      <c r="BE31" s="1">
        <f t="shared" si="51"/>
        <v>0.10432925808072349</v>
      </c>
      <c r="BF31" s="1">
        <f t="shared" si="52"/>
        <v>6.6057534563054568E-3</v>
      </c>
      <c r="BG31" s="1">
        <v>2378</v>
      </c>
      <c r="BH31" s="1">
        <f t="shared" si="53"/>
        <v>6.5223950190625088E-3</v>
      </c>
      <c r="BI31" s="1">
        <v>95981.659</v>
      </c>
      <c r="BJ31" s="1">
        <f t="shared" ref="BJ31:BJ58" si="124">BI31/C31</f>
        <v>0.26325916508955266</v>
      </c>
      <c r="BK31" s="1">
        <v>101.2013381</v>
      </c>
      <c r="BL31" s="1">
        <v>3801.4789999999998</v>
      </c>
      <c r="BM31">
        <f t="shared" ref="BM31:BM58" si="125">BL31/BG31</f>
        <v>1.598603448275862</v>
      </c>
      <c r="BN31">
        <f t="shared" ref="BN31:BN58" si="126">BL31/BI31</f>
        <v>3.9606306450693872E-2</v>
      </c>
      <c r="BO31">
        <f t="shared" si="54"/>
        <v>2.6013407533151249E-3</v>
      </c>
      <c r="BP31">
        <v>43567</v>
      </c>
      <c r="BQ31">
        <f t="shared" si="55"/>
        <v>57072.770000000004</v>
      </c>
      <c r="BR31">
        <f t="shared" ref="BR31:BR58" si="127">BQ31/D31</f>
        <v>0.15653353870677814</v>
      </c>
      <c r="BS31">
        <f t="shared" si="56"/>
        <v>59.525235619600004</v>
      </c>
      <c r="BT31">
        <f t="shared" si="57"/>
        <v>2.6297004468342836E-3</v>
      </c>
      <c r="BU31">
        <v>56.29</v>
      </c>
      <c r="BV31">
        <f t="shared" ref="BV31:BV58" si="128">BU31*1000</f>
        <v>56290</v>
      </c>
      <c r="BW31">
        <f t="shared" si="58"/>
        <v>72051.199999999997</v>
      </c>
      <c r="BX31">
        <f t="shared" ref="BX31:BX58" si="129">BW31/E31</f>
        <v>0.19760979777216148</v>
      </c>
      <c r="BY31">
        <f t="shared" si="59"/>
        <v>76.247206297600002</v>
      </c>
      <c r="BZ31">
        <f t="shared" si="60"/>
        <v>2.5916988617375944E-3</v>
      </c>
      <c r="CA31" s="1">
        <v>2308</v>
      </c>
      <c r="CB31" s="1">
        <f t="shared" si="61"/>
        <v>6.3295825711598107E-3</v>
      </c>
      <c r="CC31" s="1">
        <f t="shared" si="62"/>
        <v>-2.9561602346864887E-2</v>
      </c>
      <c r="CD31" s="1">
        <v>58334</v>
      </c>
      <c r="CE31" s="1">
        <f t="shared" si="63"/>
        <v>71167.48</v>
      </c>
      <c r="CF31">
        <f t="shared" ref="CF31:CF58" si="130">CE31/F31</f>
        <v>0.19517350131774888</v>
      </c>
      <c r="CG31">
        <f t="shared" si="64"/>
        <v>-0.2586259959786894</v>
      </c>
      <c r="CH31">
        <f t="shared" si="65"/>
        <v>90.917938902799989</v>
      </c>
      <c r="CI31" s="1">
        <v>3399</v>
      </c>
      <c r="CJ31" s="1">
        <f t="shared" si="66"/>
        <v>4146.78</v>
      </c>
      <c r="CK31">
        <f t="shared" si="67"/>
        <v>1.7966984402079722</v>
      </c>
      <c r="CL31">
        <f t="shared" si="68"/>
        <v>5.8267905509651316E-2</v>
      </c>
      <c r="CM31">
        <f t="shared" si="69"/>
        <v>2.1466995806670025E-3</v>
      </c>
      <c r="CN31" s="1">
        <v>76620</v>
      </c>
      <c r="CO31" s="1">
        <f t="shared" si="70"/>
        <v>0.21015387147206452</v>
      </c>
      <c r="CP31" s="1">
        <v>319685864</v>
      </c>
      <c r="CQ31" s="1">
        <f t="shared" ref="CQ31:CQ58" si="131">CP31/C31</f>
        <v>876.8366219589127</v>
      </c>
      <c r="CR31" s="1">
        <v>108123.0123</v>
      </c>
      <c r="CS31" s="1">
        <v>77369310</v>
      </c>
      <c r="CT31">
        <f t="shared" si="71"/>
        <v>1009.7795614722005</v>
      </c>
      <c r="CU31">
        <f t="shared" si="72"/>
        <v>0.24201667546989192</v>
      </c>
      <c r="CV31">
        <f t="shared" si="73"/>
        <v>8.1096207301922605E-3</v>
      </c>
      <c r="CW31" s="1">
        <v>64130</v>
      </c>
      <c r="CX31" s="1">
        <f t="shared" si="74"/>
        <v>0.17587353998634259</v>
      </c>
      <c r="CY31" s="1">
        <f t="shared" si="75"/>
        <v>-0.16312015213233305</v>
      </c>
      <c r="CZ31" s="1">
        <v>225950978</v>
      </c>
      <c r="DA31" s="1">
        <f t="shared" ref="DA31:DA50" si="132">CZ31*J31</f>
        <v>275660193.15999997</v>
      </c>
      <c r="DB31" s="1">
        <f t="shared" ref="DB31:DB58" si="133">DA31/F31</f>
        <v>755.98524878166495</v>
      </c>
      <c r="DC31" s="1">
        <f t="shared" si="76"/>
        <v>-0.13782655759434129</v>
      </c>
      <c r="DD31" s="1">
        <f t="shared" si="77"/>
        <v>93954.54819500001</v>
      </c>
      <c r="DE31" s="1">
        <v>56495000</v>
      </c>
      <c r="DF31" s="1">
        <f t="shared" si="78"/>
        <v>68923900</v>
      </c>
      <c r="DG31">
        <f t="shared" si="79"/>
        <v>1074.7528457820054</v>
      </c>
      <c r="DH31">
        <f t="shared" si="80"/>
        <v>0.25003211094753486</v>
      </c>
      <c r="DI31">
        <f t="shared" si="81"/>
        <v>8.0462868834475041E-3</v>
      </c>
      <c r="DJ31" s="1">
        <v>2683685</v>
      </c>
      <c r="DK31">
        <f t="shared" ref="DK31:DK58" si="134">DJ31/C31</f>
        <v>7.3608299733947726</v>
      </c>
      <c r="DL31">
        <v>1889.3069949999999</v>
      </c>
      <c r="DM31" s="1">
        <v>1560709</v>
      </c>
      <c r="DN31" s="3">
        <f t="shared" si="82"/>
        <v>3.8960475946339113E-3</v>
      </c>
      <c r="DO31" s="1">
        <v>2925051</v>
      </c>
      <c r="DP31" s="1">
        <f t="shared" si="83"/>
        <v>3568562.2199999997</v>
      </c>
      <c r="DQ31" s="3">
        <f t="shared" ref="DQ31:DQ58" si="135">DP31/F31</f>
        <v>9.7866157850135878</v>
      </c>
      <c r="DR31" s="3">
        <f t="shared" si="84"/>
        <v>1905.8896083399998</v>
      </c>
      <c r="DS31" s="3">
        <f t="shared" si="85"/>
        <v>1390410.3529926082</v>
      </c>
      <c r="DT31" s="3">
        <f t="shared" si="86"/>
        <v>5.1349331788096472E-3</v>
      </c>
      <c r="DU31" s="3">
        <f t="shared" si="87"/>
        <v>0.89088379255364591</v>
      </c>
      <c r="DV31" s="3">
        <f t="shared" si="88"/>
        <v>348.38450617135601</v>
      </c>
      <c r="DW31" s="3">
        <f t="shared" si="89"/>
        <v>0.1331454174253176</v>
      </c>
      <c r="DX31" s="3">
        <f t="shared" si="90"/>
        <v>322602817.65899998</v>
      </c>
      <c r="DY31" s="3">
        <f t="shared" si="91"/>
        <v>884.83726284045088</v>
      </c>
      <c r="DZ31" s="3">
        <f t="shared" si="92"/>
        <v>322369549</v>
      </c>
      <c r="EA31" s="3">
        <f t="shared" si="93"/>
        <v>164891.01</v>
      </c>
      <c r="EB31" s="3">
        <f t="shared" si="94"/>
        <v>0.45224672459799553</v>
      </c>
      <c r="EC31" s="3">
        <f t="shared" si="95"/>
        <v>195123.20000000001</v>
      </c>
      <c r="ED31" s="3">
        <f t="shared" si="96"/>
        <v>0.53515078295235918</v>
      </c>
      <c r="EE31" s="9">
        <f t="shared" si="97"/>
        <v>279445615.25999999</v>
      </c>
      <c r="EF31" s="13">
        <f t="shared" si="98"/>
        <v>766.3665926935555</v>
      </c>
      <c r="EG31" s="14">
        <f t="shared" si="99"/>
        <v>-0.1338897841695636</v>
      </c>
      <c r="EH31" s="9">
        <f t="shared" si="100"/>
        <v>279228755.38</v>
      </c>
      <c r="EI31" s="10">
        <v>231071</v>
      </c>
      <c r="EJ31" s="10">
        <f t="shared" ref="EJ31:EJ58" si="136">EI31*H31</f>
        <v>302703.01</v>
      </c>
      <c r="EK31" s="10">
        <f t="shared" si="101"/>
        <v>0.83022382359386526</v>
      </c>
      <c r="EL31" s="10">
        <v>339000</v>
      </c>
      <c r="EM31" s="10">
        <f t="shared" ref="EM31:EM58" si="137">EL31*I31</f>
        <v>433920</v>
      </c>
      <c r="EN31" s="10">
        <f t="shared" si="102"/>
        <v>1.1900821006353304</v>
      </c>
      <c r="EO31" s="10">
        <v>3100084</v>
      </c>
      <c r="EP31" s="11">
        <f t="shared" ref="EP31:EP58" si="138">EO31*J31</f>
        <v>3782102.48</v>
      </c>
      <c r="EQ31" s="11">
        <f t="shared" si="103"/>
        <v>10.372240008556455</v>
      </c>
      <c r="ER31" s="10">
        <f t="shared" si="104"/>
        <v>12.392545932785652</v>
      </c>
      <c r="ES31" s="10">
        <f t="shared" si="115"/>
        <v>8.7161285029498519</v>
      </c>
      <c r="ET31" s="12">
        <v>48461</v>
      </c>
      <c r="EU31" s="12">
        <f t="shared" ref="EU31:EU58" si="139">ET31*H31</f>
        <v>63483.91</v>
      </c>
      <c r="EV31" s="12">
        <f t="shared" si="105"/>
        <v>0.17411737827413354</v>
      </c>
      <c r="EW31" s="10">
        <v>7000</v>
      </c>
      <c r="EX31" s="10">
        <f t="shared" ref="EX31:EX58" si="140">EW31*I31</f>
        <v>8960</v>
      </c>
      <c r="EY31" s="10">
        <f t="shared" si="106"/>
        <v>2.4573966679785581E-2</v>
      </c>
      <c r="EZ31" s="3">
        <f t="shared" si="107"/>
        <v>61012.899520648964</v>
      </c>
      <c r="FA31" s="3">
        <f t="shared" si="108"/>
        <v>0.16732503701118911</v>
      </c>
      <c r="FB31" s="3">
        <f t="shared" si="109"/>
        <v>0.36601638196510822</v>
      </c>
      <c r="FC31" s="1">
        <f t="shared" si="110"/>
        <v>3.0223000000000004</v>
      </c>
      <c r="FD31">
        <f>30.3/10</f>
        <v>3.0300000000000002</v>
      </c>
      <c r="FE31">
        <f>3.3</f>
        <v>3.3</v>
      </c>
      <c r="FF31" s="7">
        <f t="shared" si="111"/>
        <v>3.9749999999999988</v>
      </c>
      <c r="FG31" s="1">
        <f t="shared" si="112"/>
        <v>0.13499999999999979</v>
      </c>
      <c r="FH31">
        <v>2.63E-2</v>
      </c>
      <c r="FI31">
        <v>3.4000000000000002E-2</v>
      </c>
      <c r="FJ31">
        <v>4.41E-2</v>
      </c>
      <c r="FK31">
        <v>4.0899999999999999E-2</v>
      </c>
      <c r="FL31" s="1">
        <f t="shared" si="113"/>
        <v>2.5666666666666672E-3</v>
      </c>
    </row>
    <row r="32" spans="1:168">
      <c r="A32" t="s">
        <v>108</v>
      </c>
      <c r="B32" s="1" t="s">
        <v>5</v>
      </c>
      <c r="C32" s="1">
        <v>498040</v>
      </c>
      <c r="D32" s="6">
        <f t="shared" si="117"/>
        <v>497521.9</v>
      </c>
      <c r="E32" s="6">
        <f t="shared" si="118"/>
        <v>497176.5</v>
      </c>
      <c r="F32" s="1">
        <v>496313</v>
      </c>
      <c r="G32" s="1">
        <f t="shared" si="119"/>
        <v>-172.7</v>
      </c>
      <c r="H32" s="1">
        <v>1.31</v>
      </c>
      <c r="I32" s="1">
        <v>1.28</v>
      </c>
      <c r="J32" s="1">
        <v>1.22</v>
      </c>
      <c r="K32">
        <v>215581</v>
      </c>
      <c r="L32">
        <f t="shared" si="24"/>
        <v>0.43285880652156455</v>
      </c>
      <c r="M32" s="1">
        <v>181438</v>
      </c>
      <c r="N32">
        <f t="shared" si="25"/>
        <v>0.36557172590683701</v>
      </c>
      <c r="O32">
        <f t="shared" si="26"/>
        <v>-0.15544810363324646</v>
      </c>
      <c r="P32">
        <f t="shared" si="27"/>
        <v>0.23149100983649251</v>
      </c>
      <c r="Q32">
        <f t="shared" si="28"/>
        <v>0.22754691343718017</v>
      </c>
      <c r="R32">
        <f t="shared" si="29"/>
        <v>1012.8692252490869</v>
      </c>
      <c r="S32">
        <f t="shared" si="30"/>
        <v>979.7750355439299</v>
      </c>
      <c r="T32">
        <f t="shared" si="31"/>
        <v>931.36091692835919</v>
      </c>
      <c r="U32">
        <v>92297.113769999996</v>
      </c>
      <c r="V32">
        <f t="shared" si="32"/>
        <v>1.0090899692153604E-2</v>
      </c>
      <c r="W32">
        <f t="shared" si="33"/>
        <v>840.40237334101653</v>
      </c>
      <c r="X32">
        <v>79429.064259999999</v>
      </c>
      <c r="Y32">
        <f t="shared" si="34"/>
        <v>1.0580539770556483E-2</v>
      </c>
      <c r="Z32" s="1">
        <v>17416</v>
      </c>
      <c r="AA32" s="1">
        <f t="shared" si="35"/>
        <v>3.4969078788852304E-2</v>
      </c>
      <c r="AB32" s="1">
        <v>209563</v>
      </c>
      <c r="AC32" s="1">
        <f t="shared" si="120"/>
        <v>0.42077543972371695</v>
      </c>
      <c r="AD32" s="1">
        <v>61.278341249999997</v>
      </c>
      <c r="AE32" s="1">
        <v>22888</v>
      </c>
      <c r="AF32">
        <f t="shared" si="114"/>
        <v>1.3141938447404686</v>
      </c>
      <c r="AG32">
        <f t="shared" si="36"/>
        <v>0.10921775313390246</v>
      </c>
      <c r="AH32">
        <f t="shared" si="116"/>
        <v>6.8666258116723581E-3</v>
      </c>
      <c r="AI32">
        <v>127740</v>
      </c>
      <c r="AJ32">
        <f t="shared" si="37"/>
        <v>167339.4</v>
      </c>
      <c r="AK32">
        <f t="shared" si="121"/>
        <v>0.33634579703928608</v>
      </c>
      <c r="AL32">
        <f t="shared" si="38"/>
        <v>40.567501634999999</v>
      </c>
      <c r="AM32">
        <f t="shared" si="39"/>
        <v>8.2910158004184439E-3</v>
      </c>
      <c r="AN32">
        <v>156.61000000000001</v>
      </c>
      <c r="AO32">
        <f t="shared" si="40"/>
        <v>156610</v>
      </c>
      <c r="AP32">
        <f t="shared" si="41"/>
        <v>200460.80000000002</v>
      </c>
      <c r="AQ32">
        <f t="shared" si="122"/>
        <v>0.40319846171329499</v>
      </c>
      <c r="AR32">
        <f t="shared" si="42"/>
        <v>51.759606732800002</v>
      </c>
      <c r="AS32">
        <f t="shared" si="43"/>
        <v>7.7898285393615367E-3</v>
      </c>
      <c r="AT32" s="1">
        <v>21002</v>
      </c>
      <c r="AU32" s="1">
        <f t="shared" si="44"/>
        <v>4.2316038467660529E-2</v>
      </c>
      <c r="AV32" s="1">
        <f t="shared" si="45"/>
        <v>0.21009874818750851</v>
      </c>
      <c r="AW32" s="1">
        <v>178338</v>
      </c>
      <c r="AX32" s="1">
        <f t="shared" si="46"/>
        <v>217572.36</v>
      </c>
      <c r="AY32" s="1">
        <f t="shared" si="123"/>
        <v>0.43837731431576443</v>
      </c>
      <c r="AZ32" s="1">
        <f t="shared" si="47"/>
        <v>4.1831991438485462E-2</v>
      </c>
      <c r="BA32" s="1">
        <f t="shared" si="48"/>
        <v>60.4858519474</v>
      </c>
      <c r="BB32" s="1">
        <v>20243</v>
      </c>
      <c r="BC32" s="1">
        <f t="shared" si="49"/>
        <v>24696.46</v>
      </c>
      <c r="BD32" s="1">
        <f t="shared" si="50"/>
        <v>1.1759099133415865</v>
      </c>
      <c r="BE32" s="1">
        <f t="shared" si="51"/>
        <v>0.113509179199049</v>
      </c>
      <c r="BF32" s="1">
        <f t="shared" si="52"/>
        <v>7.2476008885017981E-3</v>
      </c>
      <c r="BG32" s="1">
        <v>3269</v>
      </c>
      <c r="BH32" s="1">
        <f t="shared" si="53"/>
        <v>6.5637298208979199E-3</v>
      </c>
      <c r="BI32" s="1">
        <v>92943.066999999995</v>
      </c>
      <c r="BJ32" s="1">
        <f t="shared" si="124"/>
        <v>0.18661767528712553</v>
      </c>
      <c r="BK32" s="1">
        <v>101.2013381</v>
      </c>
      <c r="BL32" s="1">
        <v>5635.3149999999996</v>
      </c>
      <c r="BM32">
        <f t="shared" si="125"/>
        <v>1.7238650963597428</v>
      </c>
      <c r="BN32">
        <f t="shared" si="126"/>
        <v>6.0631902753973031E-2</v>
      </c>
      <c r="BO32">
        <f t="shared" si="54"/>
        <v>1.8440237924791385E-3</v>
      </c>
      <c r="BP32">
        <v>44560</v>
      </c>
      <c r="BQ32">
        <f t="shared" si="55"/>
        <v>58373.600000000006</v>
      </c>
      <c r="BR32">
        <f t="shared" si="127"/>
        <v>0.11732870452536864</v>
      </c>
      <c r="BS32">
        <f t="shared" si="56"/>
        <v>59.525235619600004</v>
      </c>
      <c r="BT32">
        <f t="shared" si="57"/>
        <v>1.9710750122043292E-3</v>
      </c>
      <c r="BU32">
        <v>58.33</v>
      </c>
      <c r="BV32">
        <f t="shared" si="128"/>
        <v>58330</v>
      </c>
      <c r="BW32">
        <f t="shared" si="58"/>
        <v>74662.400000000009</v>
      </c>
      <c r="BX32">
        <f t="shared" si="129"/>
        <v>0.15017282594812911</v>
      </c>
      <c r="BY32">
        <f t="shared" si="59"/>
        <v>76.247206297600002</v>
      </c>
      <c r="BZ32">
        <f t="shared" si="60"/>
        <v>1.9695518464242544E-3</v>
      </c>
      <c r="CA32" s="1">
        <v>2994</v>
      </c>
      <c r="CB32" s="1">
        <f t="shared" si="61"/>
        <v>6.0324835335765934E-3</v>
      </c>
      <c r="CC32" s="1">
        <f t="shared" si="62"/>
        <v>-8.0936647579539125E-2</v>
      </c>
      <c r="CD32" s="1">
        <v>69213</v>
      </c>
      <c r="CE32" s="1">
        <f t="shared" si="63"/>
        <v>84439.86</v>
      </c>
      <c r="CF32">
        <f t="shared" si="130"/>
        <v>0.17013429025635032</v>
      </c>
      <c r="CG32">
        <f t="shared" si="64"/>
        <v>-8.8327030145532892E-2</v>
      </c>
      <c r="CH32">
        <f t="shared" si="65"/>
        <v>90.917938902799989</v>
      </c>
      <c r="CI32" s="1">
        <v>4317</v>
      </c>
      <c r="CJ32" s="1">
        <f t="shared" si="66"/>
        <v>5266.74</v>
      </c>
      <c r="CK32">
        <f t="shared" si="67"/>
        <v>1.7590981963927854</v>
      </c>
      <c r="CL32">
        <f t="shared" si="68"/>
        <v>6.2372675653417704E-2</v>
      </c>
      <c r="CM32">
        <f t="shared" si="69"/>
        <v>1.8712950635434028E-3</v>
      </c>
      <c r="CN32" s="1">
        <v>83897</v>
      </c>
      <c r="CO32" s="1">
        <f t="shared" si="70"/>
        <v>0.1684543410167858</v>
      </c>
      <c r="CP32" s="1">
        <v>463552485</v>
      </c>
      <c r="CQ32" s="1">
        <f t="shared" si="131"/>
        <v>930.75352381334835</v>
      </c>
      <c r="CR32" s="1">
        <v>108123.0123</v>
      </c>
      <c r="CS32" s="1">
        <v>105899366</v>
      </c>
      <c r="CT32">
        <f t="shared" si="71"/>
        <v>1262.2545025447871</v>
      </c>
      <c r="CU32">
        <f t="shared" si="72"/>
        <v>0.22845172753199672</v>
      </c>
      <c r="CV32">
        <f t="shared" si="73"/>
        <v>8.6082833248380397E-3</v>
      </c>
      <c r="CW32" s="1">
        <v>73489</v>
      </c>
      <c r="CX32" s="1">
        <f t="shared" si="74"/>
        <v>0.14806986720073825</v>
      </c>
      <c r="CY32" s="1">
        <f t="shared" si="75"/>
        <v>-0.12100889590026248</v>
      </c>
      <c r="CZ32" s="1">
        <v>341639845</v>
      </c>
      <c r="DA32" s="1">
        <f t="shared" si="132"/>
        <v>416800610.89999998</v>
      </c>
      <c r="DB32" s="1">
        <f t="shared" si="133"/>
        <v>839.79386173644446</v>
      </c>
      <c r="DC32" s="1">
        <f t="shared" si="76"/>
        <v>-9.7726905942012623E-2</v>
      </c>
      <c r="DD32" s="1">
        <f t="shared" si="77"/>
        <v>93954.54819500001</v>
      </c>
      <c r="DE32" s="1">
        <v>78265087</v>
      </c>
      <c r="DF32" s="1">
        <f t="shared" si="78"/>
        <v>95483406.140000001</v>
      </c>
      <c r="DG32">
        <f t="shared" si="79"/>
        <v>1299.2884124154637</v>
      </c>
      <c r="DH32">
        <f t="shared" si="80"/>
        <v>0.22908653116851754</v>
      </c>
      <c r="DI32">
        <f t="shared" si="81"/>
        <v>8.93829918689488E-3</v>
      </c>
      <c r="DJ32" s="1">
        <v>2216233</v>
      </c>
      <c r="DK32">
        <f t="shared" si="134"/>
        <v>4.449909645811581</v>
      </c>
      <c r="DL32">
        <v>1889.3069949999999</v>
      </c>
      <c r="DM32" s="1">
        <v>1963409</v>
      </c>
      <c r="DN32" s="3">
        <f t="shared" si="82"/>
        <v>2.3553131691081159E-3</v>
      </c>
      <c r="DO32" s="1">
        <v>2171971</v>
      </c>
      <c r="DP32" s="1">
        <f t="shared" si="83"/>
        <v>2649804.62</v>
      </c>
      <c r="DQ32" s="3">
        <f t="shared" si="135"/>
        <v>5.3389788701887726</v>
      </c>
      <c r="DR32" s="3">
        <f t="shared" si="84"/>
        <v>1905.8896083399998</v>
      </c>
      <c r="DS32" s="3">
        <f t="shared" si="85"/>
        <v>1770372.374973061</v>
      </c>
      <c r="DT32" s="3">
        <f t="shared" si="86"/>
        <v>2.8013054097288143E-3</v>
      </c>
      <c r="DU32" s="3">
        <f t="shared" si="87"/>
        <v>0.90168292748635714</v>
      </c>
      <c r="DV32" s="3">
        <f t="shared" si="88"/>
        <v>427.9193303351808</v>
      </c>
      <c r="DW32" s="3">
        <f t="shared" si="89"/>
        <v>0.13387829490680941</v>
      </c>
      <c r="DX32" s="3">
        <f t="shared" si="90"/>
        <v>466071224.06699997</v>
      </c>
      <c r="DY32" s="3">
        <f t="shared" si="91"/>
        <v>935.81082657417073</v>
      </c>
      <c r="DZ32" s="3">
        <f t="shared" si="92"/>
        <v>465768718</v>
      </c>
      <c r="EA32" s="3">
        <f t="shared" si="93"/>
        <v>225713</v>
      </c>
      <c r="EB32" s="3">
        <f t="shared" si="94"/>
        <v>0.45367450156465472</v>
      </c>
      <c r="EC32" s="3">
        <f t="shared" si="95"/>
        <v>275123.20000000001</v>
      </c>
      <c r="ED32" s="3">
        <f t="shared" si="96"/>
        <v>0.55337128766142407</v>
      </c>
      <c r="EE32" s="9">
        <f t="shared" si="97"/>
        <v>419752427.74000001</v>
      </c>
      <c r="EF32" s="13">
        <f t="shared" si="98"/>
        <v>845.74135221120548</v>
      </c>
      <c r="EG32" s="14">
        <f t="shared" si="99"/>
        <v>-9.6247523329787532E-2</v>
      </c>
      <c r="EH32" s="9">
        <f t="shared" si="100"/>
        <v>419450415.51999998</v>
      </c>
      <c r="EI32" s="1">
        <v>186703</v>
      </c>
      <c r="EJ32" s="10">
        <f t="shared" si="136"/>
        <v>244580.93000000002</v>
      </c>
      <c r="EK32" s="10">
        <f t="shared" si="101"/>
        <v>0.4915983195915597</v>
      </c>
      <c r="EL32" s="10">
        <v>125000</v>
      </c>
      <c r="EM32" s="10">
        <f t="shared" si="137"/>
        <v>160000</v>
      </c>
      <c r="EN32" s="10">
        <f t="shared" si="102"/>
        <v>0.32181730230612265</v>
      </c>
      <c r="EO32" s="10">
        <v>2579920</v>
      </c>
      <c r="EP32" s="11">
        <f t="shared" si="138"/>
        <v>3147502.4</v>
      </c>
      <c r="EQ32" s="11">
        <f t="shared" si="103"/>
        <v>6.3417690046402164</v>
      </c>
      <c r="ER32" s="10">
        <f t="shared" si="104"/>
        <v>7.1551846265378991</v>
      </c>
      <c r="ES32" s="10">
        <f t="shared" si="115"/>
        <v>19.671889999999998</v>
      </c>
      <c r="ET32" s="12">
        <v>56008</v>
      </c>
      <c r="EU32" s="12">
        <f t="shared" si="139"/>
        <v>73370.48</v>
      </c>
      <c r="EV32" s="12">
        <f t="shared" si="105"/>
        <v>0.14747186003269402</v>
      </c>
      <c r="EW32" s="10">
        <v>22000</v>
      </c>
      <c r="EX32" s="10">
        <f t="shared" si="140"/>
        <v>28160</v>
      </c>
      <c r="EY32" s="10">
        <f t="shared" si="106"/>
        <v>5.6639845205877594E-2</v>
      </c>
      <c r="EZ32" s="3">
        <f t="shared" si="107"/>
        <v>432781.57999999996</v>
      </c>
      <c r="FA32" s="3">
        <f t="shared" si="108"/>
        <v>0.87199323813802976</v>
      </c>
      <c r="FB32" s="3">
        <f t="shared" si="109"/>
        <v>1.0761049433766015</v>
      </c>
      <c r="FC32" s="1">
        <f t="shared" si="110"/>
        <v>4.9722999999999997</v>
      </c>
      <c r="FD32">
        <f>49.8/10</f>
        <v>4.9799999999999995</v>
      </c>
      <c r="FE32">
        <f>5.5</f>
        <v>5.5</v>
      </c>
      <c r="FF32" s="7">
        <f t="shared" si="111"/>
        <v>6.8000000000000007</v>
      </c>
      <c r="FG32" s="1">
        <f t="shared" si="112"/>
        <v>0.26000000000000023</v>
      </c>
      <c r="FH32">
        <v>2.63E-2</v>
      </c>
      <c r="FI32">
        <v>3.4000000000000002E-2</v>
      </c>
      <c r="FJ32">
        <v>4.41E-2</v>
      </c>
      <c r="FK32">
        <v>4.0899999999999999E-2</v>
      </c>
      <c r="FL32" s="1">
        <f t="shared" si="113"/>
        <v>2.5666666666666672E-3</v>
      </c>
    </row>
    <row r="33" spans="1:168">
      <c r="A33" t="s">
        <v>108</v>
      </c>
      <c r="B33" s="1" t="s">
        <v>6</v>
      </c>
      <c r="C33" s="1">
        <v>335496</v>
      </c>
      <c r="D33" s="6">
        <f t="shared" si="117"/>
        <v>334479.3</v>
      </c>
      <c r="E33" s="6">
        <f t="shared" si="118"/>
        <v>333801.5</v>
      </c>
      <c r="F33" s="1">
        <v>332107</v>
      </c>
      <c r="G33" s="1">
        <f t="shared" si="119"/>
        <v>-338.9</v>
      </c>
      <c r="H33" s="1">
        <v>1.31</v>
      </c>
      <c r="I33" s="1">
        <v>1.28</v>
      </c>
      <c r="J33" s="1">
        <v>1.22</v>
      </c>
      <c r="K33">
        <v>142505</v>
      </c>
      <c r="L33">
        <f t="shared" si="24"/>
        <v>0.42475916255335383</v>
      </c>
      <c r="M33" s="1">
        <v>121756</v>
      </c>
      <c r="N33">
        <f t="shared" si="25"/>
        <v>0.36661678314519114</v>
      </c>
      <c r="O33">
        <f t="shared" si="26"/>
        <v>-0.13688316706025017</v>
      </c>
      <c r="P33">
        <f t="shared" si="27"/>
        <v>0.2087016617018807</v>
      </c>
      <c r="Q33">
        <f t="shared" si="28"/>
        <v>0.20705861610861201</v>
      </c>
      <c r="R33">
        <f t="shared" si="29"/>
        <v>970.96307475854519</v>
      </c>
      <c r="S33">
        <f t="shared" si="30"/>
        <v>966.20117329616528</v>
      </c>
      <c r="T33">
        <f t="shared" si="31"/>
        <v>1017.8771102427451</v>
      </c>
      <c r="U33">
        <v>92297.113769999996</v>
      </c>
      <c r="V33">
        <f t="shared" si="32"/>
        <v>1.1028265875997447E-2</v>
      </c>
      <c r="W33">
        <f t="shared" si="33"/>
        <v>778.53523033239287</v>
      </c>
      <c r="X33">
        <v>79429.064259999999</v>
      </c>
      <c r="Y33">
        <f t="shared" si="34"/>
        <v>9.801641723789745E-3</v>
      </c>
      <c r="Z33" s="1">
        <v>14296</v>
      </c>
      <c r="AA33" s="1">
        <f t="shared" si="35"/>
        <v>4.2611536352147268E-2</v>
      </c>
      <c r="AB33" s="1">
        <v>168859</v>
      </c>
      <c r="AC33" s="1">
        <f t="shared" si="120"/>
        <v>0.5033115148913847</v>
      </c>
      <c r="AD33" s="1">
        <v>61.278341249999997</v>
      </c>
      <c r="AE33" s="1">
        <v>19751</v>
      </c>
      <c r="AF33">
        <f t="shared" si="114"/>
        <v>1.3815752658086178</v>
      </c>
      <c r="AG33">
        <f t="shared" si="36"/>
        <v>0.11696741067991638</v>
      </c>
      <c r="AH33">
        <f t="shared" si="116"/>
        <v>8.2135303375462168E-3</v>
      </c>
      <c r="AI33">
        <v>92369</v>
      </c>
      <c r="AJ33">
        <f t="shared" si="37"/>
        <v>121003.39</v>
      </c>
      <c r="AK33">
        <f t="shared" si="121"/>
        <v>0.36176645311085021</v>
      </c>
      <c r="AL33">
        <f t="shared" si="38"/>
        <v>40.567501634999999</v>
      </c>
      <c r="AM33">
        <f t="shared" si="39"/>
        <v>8.9176419185433078E-3</v>
      </c>
      <c r="AN33">
        <v>114.54</v>
      </c>
      <c r="AO33">
        <f t="shared" si="40"/>
        <v>114540</v>
      </c>
      <c r="AP33">
        <f t="shared" si="41"/>
        <v>146611.20000000001</v>
      </c>
      <c r="AQ33">
        <f t="shared" si="122"/>
        <v>0.43921672011659629</v>
      </c>
      <c r="AR33">
        <f t="shared" si="42"/>
        <v>51.759606732800002</v>
      </c>
      <c r="AS33">
        <f t="shared" si="43"/>
        <v>8.4857043521210755E-3</v>
      </c>
      <c r="AT33" s="1">
        <v>15939</v>
      </c>
      <c r="AU33" s="1">
        <f t="shared" si="44"/>
        <v>4.7993568337915189E-2</v>
      </c>
      <c r="AV33" s="1">
        <f t="shared" si="45"/>
        <v>0.12630457492285915</v>
      </c>
      <c r="AW33" s="1">
        <v>136671</v>
      </c>
      <c r="AX33" s="1">
        <f t="shared" si="46"/>
        <v>166738.62</v>
      </c>
      <c r="AY33" s="1">
        <f t="shared" si="123"/>
        <v>0.50206294959154729</v>
      </c>
      <c r="AZ33" s="1">
        <f t="shared" si="47"/>
        <v>-2.4807008441021937E-3</v>
      </c>
      <c r="BA33" s="1">
        <f t="shared" si="48"/>
        <v>60.4858519474</v>
      </c>
      <c r="BB33" s="1">
        <v>16513</v>
      </c>
      <c r="BC33" s="1">
        <f t="shared" si="49"/>
        <v>20145.86</v>
      </c>
      <c r="BD33" s="1">
        <f t="shared" si="50"/>
        <v>1.2639350021958717</v>
      </c>
      <c r="BE33" s="1">
        <f t="shared" si="51"/>
        <v>0.12082299829517601</v>
      </c>
      <c r="BF33" s="1">
        <f t="shared" si="52"/>
        <v>8.3005022402289005E-3</v>
      </c>
      <c r="BG33" s="1">
        <v>4491</v>
      </c>
      <c r="BH33" s="1">
        <f t="shared" si="53"/>
        <v>1.3386150654553258E-2</v>
      </c>
      <c r="BI33" s="1">
        <v>140371.978</v>
      </c>
      <c r="BJ33" s="1">
        <f t="shared" si="124"/>
        <v>0.41840134606671914</v>
      </c>
      <c r="BK33" s="1">
        <v>101.2013381</v>
      </c>
      <c r="BL33" s="1">
        <v>8046.6419999999998</v>
      </c>
      <c r="BM33">
        <f t="shared" si="125"/>
        <v>1.7917261189044755</v>
      </c>
      <c r="BN33">
        <f t="shared" si="126"/>
        <v>5.7323706017735246E-2</v>
      </c>
      <c r="BO33">
        <f t="shared" si="54"/>
        <v>4.1343459871378829E-3</v>
      </c>
      <c r="BP33">
        <v>98092</v>
      </c>
      <c r="BQ33">
        <f t="shared" si="55"/>
        <v>128500.52</v>
      </c>
      <c r="BR33">
        <f t="shared" si="127"/>
        <v>0.38418078487966223</v>
      </c>
      <c r="BS33">
        <f t="shared" si="56"/>
        <v>59.525235619600004</v>
      </c>
      <c r="BT33">
        <f t="shared" si="57"/>
        <v>6.4540825564269114E-3</v>
      </c>
      <c r="BU33">
        <v>78.040000000000006</v>
      </c>
      <c r="BV33">
        <f t="shared" si="128"/>
        <v>78040</v>
      </c>
      <c r="BW33">
        <f t="shared" si="58"/>
        <v>99891.199999999997</v>
      </c>
      <c r="BX33">
        <f t="shared" si="129"/>
        <v>0.29925329874191697</v>
      </c>
      <c r="BY33">
        <f t="shared" si="59"/>
        <v>76.247206297600002</v>
      </c>
      <c r="BZ33">
        <f t="shared" si="60"/>
        <v>3.9247772249373083E-3</v>
      </c>
      <c r="CA33" s="1">
        <v>3577</v>
      </c>
      <c r="CB33" s="1">
        <f t="shared" si="61"/>
        <v>1.0770625129852728E-2</v>
      </c>
      <c r="CC33" s="1">
        <f t="shared" si="62"/>
        <v>-0.19539041448116878</v>
      </c>
      <c r="CD33" s="1">
        <v>98279</v>
      </c>
      <c r="CE33" s="1">
        <f t="shared" si="63"/>
        <v>119900.38</v>
      </c>
      <c r="CF33">
        <f t="shared" si="130"/>
        <v>0.36102936704134514</v>
      </c>
      <c r="CG33">
        <f t="shared" si="64"/>
        <v>-0.13712187966103087</v>
      </c>
      <c r="CH33">
        <f t="shared" si="65"/>
        <v>90.917938902799989</v>
      </c>
      <c r="CI33" s="1">
        <v>6078</v>
      </c>
      <c r="CJ33" s="1">
        <f t="shared" si="66"/>
        <v>7415.16</v>
      </c>
      <c r="CK33">
        <f t="shared" si="67"/>
        <v>2.0730109029913333</v>
      </c>
      <c r="CL33">
        <f t="shared" si="68"/>
        <v>6.1844341110511909E-2</v>
      </c>
      <c r="CM33">
        <f t="shared" si="69"/>
        <v>3.9709365544166172E-3</v>
      </c>
      <c r="CN33" s="1">
        <v>54208</v>
      </c>
      <c r="CO33" s="1">
        <f t="shared" si="70"/>
        <v>0.16157569687865131</v>
      </c>
      <c r="CP33" s="1">
        <v>341184468</v>
      </c>
      <c r="CQ33" s="1">
        <f t="shared" si="131"/>
        <v>1016.955397381787</v>
      </c>
      <c r="CR33" s="1">
        <v>108123.0123</v>
      </c>
      <c r="CS33" s="1">
        <v>70847652</v>
      </c>
      <c r="CT33">
        <f t="shared" si="71"/>
        <v>1306.9593417945691</v>
      </c>
      <c r="CU33">
        <f t="shared" si="72"/>
        <v>0.20765204352737418</v>
      </c>
      <c r="CV33">
        <f t="shared" si="73"/>
        <v>9.4055407424288619E-3</v>
      </c>
      <c r="CW33" s="1">
        <v>36446</v>
      </c>
      <c r="CX33" s="1">
        <f t="shared" si="74"/>
        <v>0.10974173986094843</v>
      </c>
      <c r="CY33" s="1">
        <f t="shared" si="75"/>
        <v>-0.32080293026142354</v>
      </c>
      <c r="CZ33" s="1">
        <v>211697017</v>
      </c>
      <c r="DA33" s="1">
        <f t="shared" si="132"/>
        <v>258270360.73999998</v>
      </c>
      <c r="DB33" s="1">
        <f t="shared" si="133"/>
        <v>777.67213801575997</v>
      </c>
      <c r="DC33" s="1">
        <f t="shared" si="76"/>
        <v>-0.23529376016104164</v>
      </c>
      <c r="DD33" s="1">
        <f t="shared" si="77"/>
        <v>93954.54819500001</v>
      </c>
      <c r="DE33" s="1">
        <v>44297532</v>
      </c>
      <c r="DF33" s="1">
        <f t="shared" si="78"/>
        <v>54042989.039999999</v>
      </c>
      <c r="DG33">
        <f t="shared" si="79"/>
        <v>1482.8236031388903</v>
      </c>
      <c r="DH33">
        <f t="shared" si="80"/>
        <v>0.20924967497298275</v>
      </c>
      <c r="DI33">
        <f t="shared" si="81"/>
        <v>8.2771100809481135E-3</v>
      </c>
      <c r="DJ33" s="1">
        <v>2541653</v>
      </c>
      <c r="DK33">
        <f t="shared" si="134"/>
        <v>7.5758071631256412</v>
      </c>
      <c r="DL33">
        <v>1889.3069949999999</v>
      </c>
      <c r="DM33" s="1">
        <v>925300</v>
      </c>
      <c r="DN33" s="3">
        <f t="shared" si="82"/>
        <v>4.009833861397227E-3</v>
      </c>
      <c r="DO33" s="1">
        <v>2114296</v>
      </c>
      <c r="DP33" s="1">
        <f t="shared" si="83"/>
        <v>2579441.12</v>
      </c>
      <c r="DQ33" s="3">
        <f t="shared" si="135"/>
        <v>7.7668977769212937</v>
      </c>
      <c r="DR33" s="3">
        <f t="shared" si="84"/>
        <v>1905.8896083399998</v>
      </c>
      <c r="DS33" s="3">
        <f t="shared" si="85"/>
        <v>705907.05559164309</v>
      </c>
      <c r="DT33" s="3">
        <f t="shared" si="86"/>
        <v>4.0752086285239476E-3</v>
      </c>
      <c r="DU33" s="3">
        <f t="shared" si="87"/>
        <v>0.76289533728698056</v>
      </c>
      <c r="DV33" s="3">
        <f t="shared" si="88"/>
        <v>466.04886537056001</v>
      </c>
      <c r="DW33" s="3">
        <f t="shared" si="89"/>
        <v>0.12897669576728274</v>
      </c>
      <c r="DX33" s="3">
        <f t="shared" si="90"/>
        <v>344035351.97799999</v>
      </c>
      <c r="DY33" s="3">
        <f t="shared" si="91"/>
        <v>1025.4529174058707</v>
      </c>
      <c r="DZ33" s="3">
        <f t="shared" si="92"/>
        <v>343726121</v>
      </c>
      <c r="EA33" s="3">
        <f t="shared" si="93"/>
        <v>249503.91</v>
      </c>
      <c r="EB33" s="3">
        <f t="shared" si="94"/>
        <v>0.74594723799051244</v>
      </c>
      <c r="EC33" s="3">
        <f t="shared" si="95"/>
        <v>246502.40000000002</v>
      </c>
      <c r="ED33" s="3">
        <f t="shared" si="96"/>
        <v>0.73847001885851327</v>
      </c>
      <c r="EE33" s="9">
        <f t="shared" si="97"/>
        <v>261136440.85999998</v>
      </c>
      <c r="EF33" s="13">
        <f t="shared" si="98"/>
        <v>786.30212810931414</v>
      </c>
      <c r="EG33" s="14">
        <f t="shared" si="99"/>
        <v>-0.23321479244658633</v>
      </c>
      <c r="EH33" s="9">
        <f t="shared" si="100"/>
        <v>260849801.85999998</v>
      </c>
      <c r="EI33" s="10">
        <v>191360</v>
      </c>
      <c r="EJ33" s="10">
        <f t="shared" si="136"/>
        <v>250681.60000000001</v>
      </c>
      <c r="EK33" s="10">
        <f t="shared" si="101"/>
        <v>0.74946820326399877</v>
      </c>
      <c r="EL33" s="10">
        <v>140000</v>
      </c>
      <c r="EM33" s="10">
        <f t="shared" si="137"/>
        <v>179200</v>
      </c>
      <c r="EN33" s="10">
        <f t="shared" si="102"/>
        <v>0.53684599979329028</v>
      </c>
      <c r="EO33" s="11">
        <v>1620872</v>
      </c>
      <c r="EP33" s="11">
        <f t="shared" si="138"/>
        <v>1977463.8399999999</v>
      </c>
      <c r="EQ33" s="11">
        <f t="shared" si="103"/>
        <v>5.9542973800612451</v>
      </c>
      <c r="ER33" s="10">
        <f t="shared" si="104"/>
        <v>7.2406115831185343</v>
      </c>
      <c r="ES33" s="10">
        <f t="shared" si="115"/>
        <v>11.034954464285713</v>
      </c>
      <c r="ET33" s="12">
        <v>194639</v>
      </c>
      <c r="EU33" s="12">
        <f t="shared" si="139"/>
        <v>254977.09</v>
      </c>
      <c r="EV33" s="12">
        <f t="shared" si="105"/>
        <v>0.76231052265416721</v>
      </c>
      <c r="EW33" s="10">
        <v>73000</v>
      </c>
      <c r="EX33" s="10">
        <f t="shared" si="140"/>
        <v>93440</v>
      </c>
      <c r="EY33" s="10">
        <f t="shared" si="106"/>
        <v>0.27992684274935853</v>
      </c>
      <c r="EZ33" s="3">
        <f t="shared" si="107"/>
        <v>805551.67589285702</v>
      </c>
      <c r="FA33" s="3">
        <f t="shared" si="108"/>
        <v>2.4255787318329847</v>
      </c>
      <c r="FB33" s="3">
        <f t="shared" si="109"/>
        <v>3.4678160972365104</v>
      </c>
      <c r="FC33" s="1">
        <f t="shared" si="110"/>
        <v>4.7923</v>
      </c>
      <c r="FD33">
        <f>48/10</f>
        <v>4.8</v>
      </c>
      <c r="FE33">
        <f>5.2</f>
        <v>5.2</v>
      </c>
      <c r="FF33" s="7">
        <f t="shared" si="111"/>
        <v>6.2000000000000011</v>
      </c>
      <c r="FG33" s="1">
        <f t="shared" si="112"/>
        <v>0.20000000000000018</v>
      </c>
      <c r="FH33">
        <v>2.63E-2</v>
      </c>
      <c r="FI33">
        <v>3.4000000000000002E-2</v>
      </c>
      <c r="FJ33">
        <v>4.41E-2</v>
      </c>
      <c r="FK33">
        <v>4.0899999999999999E-2</v>
      </c>
      <c r="FL33" s="1">
        <f t="shared" si="113"/>
        <v>2.5666666666666672E-3</v>
      </c>
    </row>
    <row r="34" spans="1:168">
      <c r="A34" t="s">
        <v>108</v>
      </c>
      <c r="B34" s="1" t="s">
        <v>7</v>
      </c>
      <c r="C34" s="1">
        <v>934924</v>
      </c>
      <c r="D34" s="6">
        <f t="shared" si="117"/>
        <v>945863.8</v>
      </c>
      <c r="E34" s="6">
        <f t="shared" si="118"/>
        <v>953157</v>
      </c>
      <c r="F34" s="1">
        <v>971390</v>
      </c>
      <c r="G34" s="1">
        <f t="shared" si="119"/>
        <v>3646.6</v>
      </c>
      <c r="H34" s="1">
        <v>1.31</v>
      </c>
      <c r="I34" s="1">
        <v>1.28</v>
      </c>
      <c r="J34" s="1">
        <v>1.22</v>
      </c>
      <c r="K34">
        <v>390138</v>
      </c>
      <c r="L34">
        <f t="shared" si="24"/>
        <v>0.41729381211734856</v>
      </c>
      <c r="M34" s="1">
        <v>337385</v>
      </c>
      <c r="N34">
        <f t="shared" si="25"/>
        <v>0.3473218789569586</v>
      </c>
      <c r="O34">
        <f t="shared" si="26"/>
        <v>-0.1676802558019071</v>
      </c>
      <c r="P34">
        <f t="shared" si="27"/>
        <v>0.18277624050678667</v>
      </c>
      <c r="Q34">
        <f t="shared" si="28"/>
        <v>0.16499451665480794</v>
      </c>
      <c r="R34">
        <f t="shared" si="29"/>
        <v>938.61694485880071</v>
      </c>
      <c r="S34">
        <f t="shared" si="30"/>
        <v>869.20311722651218</v>
      </c>
      <c r="T34">
        <f t="shared" si="31"/>
        <v>729.28005794053843</v>
      </c>
      <c r="U34">
        <v>92297.113769999996</v>
      </c>
      <c r="V34">
        <f t="shared" si="32"/>
        <v>7.9014394725047364E-3</v>
      </c>
      <c r="W34">
        <f t="shared" si="33"/>
        <v>637.20468252710032</v>
      </c>
      <c r="X34">
        <v>79429.064259999999</v>
      </c>
      <c r="Y34">
        <f t="shared" si="34"/>
        <v>8.0223113348194489E-3</v>
      </c>
      <c r="Z34" s="1">
        <v>25476</v>
      </c>
      <c r="AA34" s="1">
        <f t="shared" si="35"/>
        <v>2.7249273737758362E-2</v>
      </c>
      <c r="AB34" s="1">
        <v>322345</v>
      </c>
      <c r="AC34" s="1">
        <f t="shared" si="120"/>
        <v>0.34478203575905636</v>
      </c>
      <c r="AD34" s="1">
        <v>61.278341249999997</v>
      </c>
      <c r="AE34" s="1">
        <v>35367</v>
      </c>
      <c r="AF34">
        <f t="shared" si="114"/>
        <v>1.3882477626000942</v>
      </c>
      <c r="AG34">
        <f t="shared" si="36"/>
        <v>0.10971784888861313</v>
      </c>
      <c r="AH34">
        <f t="shared" si="116"/>
        <v>5.6264910036065378E-3</v>
      </c>
      <c r="AI34">
        <v>198201</v>
      </c>
      <c r="AJ34">
        <f t="shared" si="37"/>
        <v>259643.31</v>
      </c>
      <c r="AK34">
        <f t="shared" si="121"/>
        <v>0.27450390849084189</v>
      </c>
      <c r="AL34">
        <f t="shared" si="38"/>
        <v>40.567501634999999</v>
      </c>
      <c r="AM34">
        <f t="shared" si="39"/>
        <v>6.7665963499712054E-3</v>
      </c>
      <c r="AN34">
        <v>251.61</v>
      </c>
      <c r="AO34">
        <f t="shared" si="40"/>
        <v>251610</v>
      </c>
      <c r="AP34">
        <f t="shared" si="41"/>
        <v>322060.79999999999</v>
      </c>
      <c r="AQ34">
        <f t="shared" si="122"/>
        <v>0.33788851154636645</v>
      </c>
      <c r="AR34">
        <f t="shared" si="42"/>
        <v>51.759606732800002</v>
      </c>
      <c r="AS34">
        <f t="shared" si="43"/>
        <v>6.5280347528654404E-3</v>
      </c>
      <c r="AT34" s="1">
        <v>34288</v>
      </c>
      <c r="AU34" s="1">
        <f t="shared" si="44"/>
        <v>3.5297872121393056E-2</v>
      </c>
      <c r="AV34" s="1">
        <f t="shared" si="45"/>
        <v>0.29536928070424256</v>
      </c>
      <c r="AW34" s="1">
        <v>301377</v>
      </c>
      <c r="AX34" s="1">
        <f t="shared" si="46"/>
        <v>367679.94</v>
      </c>
      <c r="AY34" s="1">
        <f t="shared" si="123"/>
        <v>0.37850908491954827</v>
      </c>
      <c r="AZ34" s="1">
        <f t="shared" si="47"/>
        <v>9.7821364405601866E-2</v>
      </c>
      <c r="BA34" s="1">
        <f t="shared" si="48"/>
        <v>60.4858519474</v>
      </c>
      <c r="BB34" s="1">
        <v>33971</v>
      </c>
      <c r="BC34" s="1">
        <f t="shared" si="49"/>
        <v>41444.620000000003</v>
      </c>
      <c r="BD34" s="1">
        <f t="shared" si="50"/>
        <v>1.2087208352776482</v>
      </c>
      <c r="BE34" s="1">
        <f t="shared" si="51"/>
        <v>0.11271928514783809</v>
      </c>
      <c r="BF34" s="1">
        <f t="shared" si="52"/>
        <v>6.2578119135811988E-3</v>
      </c>
      <c r="BG34" s="1">
        <v>6505</v>
      </c>
      <c r="BH34" s="1">
        <f t="shared" si="53"/>
        <v>6.9577848038984988E-3</v>
      </c>
      <c r="BI34" s="1">
        <v>163403.89000000001</v>
      </c>
      <c r="BJ34" s="1">
        <f t="shared" si="124"/>
        <v>0.17477772524825549</v>
      </c>
      <c r="BK34" s="1">
        <v>101.2013381</v>
      </c>
      <c r="BL34" s="1">
        <v>11992.123</v>
      </c>
      <c r="BM34">
        <f t="shared" si="125"/>
        <v>1.8435239046887009</v>
      </c>
      <c r="BN34">
        <f t="shared" si="126"/>
        <v>7.3389458476172134E-2</v>
      </c>
      <c r="BO34">
        <f t="shared" si="54"/>
        <v>1.7270297856689654E-3</v>
      </c>
      <c r="BP34">
        <v>160042</v>
      </c>
      <c r="BQ34">
        <f t="shared" si="55"/>
        <v>209655.02000000002</v>
      </c>
      <c r="BR34">
        <f t="shared" si="127"/>
        <v>0.22165455533872849</v>
      </c>
      <c r="BS34">
        <f t="shared" si="56"/>
        <v>59.525235619600004</v>
      </c>
      <c r="BT34">
        <f t="shared" si="57"/>
        <v>3.7237073155867327E-3</v>
      </c>
      <c r="BU34">
        <v>112.46</v>
      </c>
      <c r="BV34">
        <f t="shared" si="128"/>
        <v>112460</v>
      </c>
      <c r="BW34">
        <f t="shared" si="58"/>
        <v>143948.80000000002</v>
      </c>
      <c r="BX34">
        <f t="shared" si="129"/>
        <v>0.15102317876278518</v>
      </c>
      <c r="BY34">
        <f t="shared" si="59"/>
        <v>76.247206297600002</v>
      </c>
      <c r="BZ34">
        <f t="shared" si="60"/>
        <v>1.9807044231014517E-3</v>
      </c>
      <c r="CA34" s="1">
        <v>6071</v>
      </c>
      <c r="CB34" s="1">
        <f t="shared" si="61"/>
        <v>6.2498069776299944E-3</v>
      </c>
      <c r="CC34" s="1">
        <f t="shared" si="62"/>
        <v>-0.10175333762432824</v>
      </c>
      <c r="CD34" s="1">
        <v>147733</v>
      </c>
      <c r="CE34" s="1">
        <f t="shared" si="63"/>
        <v>180234.26</v>
      </c>
      <c r="CF34">
        <f t="shared" si="130"/>
        <v>0.1855426347810869</v>
      </c>
      <c r="CG34">
        <f t="shared" si="64"/>
        <v>6.159199930964232E-2</v>
      </c>
      <c r="CH34">
        <f t="shared" si="65"/>
        <v>90.917938902799989</v>
      </c>
      <c r="CI34" s="1">
        <v>10555</v>
      </c>
      <c r="CJ34" s="1">
        <f t="shared" si="66"/>
        <v>12877.1</v>
      </c>
      <c r="CK34">
        <f t="shared" si="67"/>
        <v>2.1210838412123207</v>
      </c>
      <c r="CL34">
        <f t="shared" si="68"/>
        <v>7.1446460844902623E-2</v>
      </c>
      <c r="CM34">
        <f t="shared" si="69"/>
        <v>2.0407703586357122E-3</v>
      </c>
      <c r="CN34" s="1">
        <v>97269</v>
      </c>
      <c r="CO34" s="1">
        <f t="shared" si="70"/>
        <v>0.10403947272719494</v>
      </c>
      <c r="CP34" s="1">
        <v>681335680</v>
      </c>
      <c r="CQ34" s="1">
        <f t="shared" si="131"/>
        <v>728.76049817953117</v>
      </c>
      <c r="CR34" s="1">
        <v>108123.0123</v>
      </c>
      <c r="CS34" s="1">
        <v>121268881</v>
      </c>
      <c r="CT34">
        <f t="shared" si="71"/>
        <v>1246.737203014321</v>
      </c>
      <c r="CU34">
        <f t="shared" si="72"/>
        <v>0.17798698139513258</v>
      </c>
      <c r="CV34">
        <f t="shared" si="73"/>
        <v>6.7401053917874537E-3</v>
      </c>
      <c r="CW34" s="1">
        <v>78394</v>
      </c>
      <c r="CX34" s="1">
        <f t="shared" si="74"/>
        <v>8.0702910262613364E-2</v>
      </c>
      <c r="CY34" s="1">
        <f t="shared" si="75"/>
        <v>-0.22430488979671284</v>
      </c>
      <c r="CZ34" s="1">
        <v>506906838</v>
      </c>
      <c r="DA34" s="1">
        <f t="shared" si="132"/>
        <v>618426342.36000001</v>
      </c>
      <c r="DB34" s="1">
        <f t="shared" si="133"/>
        <v>636.6406308073997</v>
      </c>
      <c r="DC34" s="1">
        <f t="shared" si="76"/>
        <v>-0.12640623030783099</v>
      </c>
      <c r="DD34" s="1">
        <f t="shared" si="77"/>
        <v>93954.54819500001</v>
      </c>
      <c r="DE34" s="1">
        <v>84562423</v>
      </c>
      <c r="DF34" s="1">
        <f t="shared" si="78"/>
        <v>103166156.06</v>
      </c>
      <c r="DG34">
        <f t="shared" si="79"/>
        <v>1315.9955616501263</v>
      </c>
      <c r="DH34">
        <f t="shared" si="80"/>
        <v>0.16682044245771252</v>
      </c>
      <c r="DI34">
        <f t="shared" si="81"/>
        <v>6.7760490900990768E-3</v>
      </c>
      <c r="DJ34" s="1">
        <v>4869619</v>
      </c>
      <c r="DK34">
        <f t="shared" si="134"/>
        <v>5.2085720336626293</v>
      </c>
      <c r="DL34">
        <v>1889.3069949999999</v>
      </c>
      <c r="DM34" s="1">
        <v>4194568</v>
      </c>
      <c r="DN34" s="3">
        <f t="shared" si="82"/>
        <v>2.7568690781577449E-3</v>
      </c>
      <c r="DO34" s="1">
        <v>5430481</v>
      </c>
      <c r="DP34" s="1">
        <f t="shared" si="83"/>
        <v>6625186.8200000003</v>
      </c>
      <c r="DQ34" s="3">
        <f t="shared" si="135"/>
        <v>6.8203160625495425</v>
      </c>
      <c r="DR34" s="3">
        <f t="shared" si="84"/>
        <v>1905.8896083399998</v>
      </c>
      <c r="DS34" s="3">
        <f t="shared" si="85"/>
        <v>3568898.2167739831</v>
      </c>
      <c r="DT34" s="3">
        <f t="shared" si="86"/>
        <v>3.5785472740417173E-3</v>
      </c>
      <c r="DU34" s="3">
        <f t="shared" si="87"/>
        <v>0.85083808792084981</v>
      </c>
      <c r="DV34" s="3">
        <f t="shared" si="88"/>
        <v>428.21572350137097</v>
      </c>
      <c r="DW34" s="3">
        <f t="shared" si="89"/>
        <v>0.11868007953506186</v>
      </c>
      <c r="DX34" s="3">
        <f t="shared" si="90"/>
        <v>686691047.88999999</v>
      </c>
      <c r="DY34" s="3">
        <f t="shared" si="91"/>
        <v>734.4886299742011</v>
      </c>
      <c r="DZ34" s="3">
        <f t="shared" si="92"/>
        <v>686205299</v>
      </c>
      <c r="EA34" s="3">
        <f t="shared" si="93"/>
        <v>469298.33</v>
      </c>
      <c r="EB34" s="3">
        <f t="shared" si="94"/>
        <v>0.49615846382957041</v>
      </c>
      <c r="EC34" s="3">
        <f t="shared" si="95"/>
        <v>466009.59999999998</v>
      </c>
      <c r="ED34" s="3">
        <f t="shared" si="96"/>
        <v>0.48891169030915155</v>
      </c>
      <c r="EE34" s="9">
        <f t="shared" si="97"/>
        <v>625599443.38000011</v>
      </c>
      <c r="EF34" s="13">
        <f t="shared" si="98"/>
        <v>644.02499858964995</v>
      </c>
      <c r="EG34" s="14">
        <f t="shared" si="99"/>
        <v>-0.12316546191835356</v>
      </c>
      <c r="EH34" s="9">
        <f t="shared" si="100"/>
        <v>625051529.18000007</v>
      </c>
      <c r="EI34" s="10">
        <v>380837</v>
      </c>
      <c r="EJ34" s="10">
        <f t="shared" si="136"/>
        <v>498896.47000000003</v>
      </c>
      <c r="EK34" s="10">
        <f t="shared" si="101"/>
        <v>0.52745064352816973</v>
      </c>
      <c r="EL34" s="10">
        <v>397000</v>
      </c>
      <c r="EM34" s="10">
        <f t="shared" si="137"/>
        <v>508160</v>
      </c>
      <c r="EN34" s="10">
        <f t="shared" si="102"/>
        <v>0.53313357610551038</v>
      </c>
      <c r="EO34" s="10">
        <v>4161010</v>
      </c>
      <c r="EP34" s="11">
        <f t="shared" si="138"/>
        <v>5076432.2</v>
      </c>
      <c r="EQ34" s="11">
        <f t="shared" si="103"/>
        <v>5.2259465302298773</v>
      </c>
      <c r="ER34" s="10">
        <f t="shared" si="104"/>
        <v>6.286530749863557</v>
      </c>
      <c r="ES34" s="10">
        <f t="shared" si="115"/>
        <v>9.9898303683879099</v>
      </c>
      <c r="ET34" s="12">
        <v>527024</v>
      </c>
      <c r="EU34" s="12">
        <f t="shared" si="139"/>
        <v>690401.44000000006</v>
      </c>
      <c r="EV34" s="12">
        <f t="shared" si="105"/>
        <v>0.72991633679182988</v>
      </c>
      <c r="EW34" s="10">
        <v>326000</v>
      </c>
      <c r="EX34" s="10">
        <f t="shared" si="140"/>
        <v>417280</v>
      </c>
      <c r="EY34" s="10">
        <f t="shared" si="106"/>
        <v>0.43778726904381965</v>
      </c>
      <c r="EZ34" s="3">
        <f t="shared" si="107"/>
        <v>3256684.7000944586</v>
      </c>
      <c r="FA34" s="3">
        <f t="shared" si="108"/>
        <v>3.3526026622617677</v>
      </c>
      <c r="FB34" s="3">
        <f t="shared" si="109"/>
        <v>4.5203062680974178</v>
      </c>
      <c r="FC34" s="1">
        <f t="shared" si="110"/>
        <v>7.0522999999999998</v>
      </c>
      <c r="FD34">
        <f>70.6/10</f>
        <v>7.06</v>
      </c>
      <c r="FE34">
        <f>7.3</f>
        <v>7.3</v>
      </c>
      <c r="FF34" s="7">
        <f t="shared" si="111"/>
        <v>7.9</v>
      </c>
      <c r="FG34" s="1">
        <f t="shared" si="112"/>
        <v>0.12000000000000011</v>
      </c>
      <c r="FH34">
        <v>2.63E-2</v>
      </c>
      <c r="FI34">
        <v>3.4000000000000002E-2</v>
      </c>
      <c r="FJ34">
        <v>4.41E-2</v>
      </c>
      <c r="FK34">
        <v>4.0899999999999999E-2</v>
      </c>
      <c r="FL34" s="1">
        <f t="shared" si="113"/>
        <v>2.5666666666666672E-3</v>
      </c>
    </row>
    <row r="35" spans="1:168">
      <c r="A35" t="s">
        <v>108</v>
      </c>
      <c r="B35" s="1" t="s">
        <v>8</v>
      </c>
      <c r="C35" s="1">
        <v>162311</v>
      </c>
      <c r="D35" s="6">
        <f t="shared" si="117"/>
        <v>164264.9</v>
      </c>
      <c r="E35" s="6">
        <f t="shared" si="118"/>
        <v>165567.5</v>
      </c>
      <c r="F35" s="1">
        <v>168824</v>
      </c>
      <c r="G35" s="1">
        <f t="shared" si="119"/>
        <v>651.29999999999995</v>
      </c>
      <c r="H35" s="1">
        <v>1.31</v>
      </c>
      <c r="I35" s="1">
        <v>1.28</v>
      </c>
      <c r="J35" s="1">
        <v>1.22</v>
      </c>
      <c r="K35">
        <v>69822</v>
      </c>
      <c r="L35">
        <f t="shared" si="24"/>
        <v>0.43017417180597739</v>
      </c>
      <c r="M35" s="1">
        <v>58289</v>
      </c>
      <c r="N35">
        <f t="shared" si="25"/>
        <v>0.34526489124768989</v>
      </c>
      <c r="O35">
        <f t="shared" si="26"/>
        <v>-0.19738349283458229</v>
      </c>
      <c r="P35">
        <f t="shared" si="27"/>
        <v>0.21672572115888949</v>
      </c>
      <c r="Q35">
        <f t="shared" si="28"/>
        <v>0.19041945694493556</v>
      </c>
      <c r="R35">
        <f t="shared" si="29"/>
        <v>925.41001374185669</v>
      </c>
      <c r="S35">
        <f t="shared" si="30"/>
        <v>794.0417883243058</v>
      </c>
      <c r="T35">
        <f t="shared" si="31"/>
        <v>801.95922857970186</v>
      </c>
      <c r="U35">
        <v>92297.113769999996</v>
      </c>
      <c r="V35">
        <f t="shared" si="32"/>
        <v>8.688887396610754E-3</v>
      </c>
      <c r="W35">
        <f t="shared" si="33"/>
        <v>537.37724968014027</v>
      </c>
      <c r="X35">
        <v>79429.064259999999</v>
      </c>
      <c r="Y35">
        <f t="shared" si="34"/>
        <v>6.7654989352651891E-3</v>
      </c>
      <c r="Z35" s="1">
        <v>5929</v>
      </c>
      <c r="AA35" s="1">
        <f t="shared" si="35"/>
        <v>3.6528639463745523E-2</v>
      </c>
      <c r="AB35" s="1">
        <v>78405</v>
      </c>
      <c r="AC35" s="1">
        <f t="shared" si="120"/>
        <v>0.48305413681142989</v>
      </c>
      <c r="AD35" s="1">
        <v>61.278341249999997</v>
      </c>
      <c r="AE35" s="1">
        <v>7852</v>
      </c>
      <c r="AF35">
        <f t="shared" si="114"/>
        <v>1.324337999662675</v>
      </c>
      <c r="AG35">
        <f t="shared" si="36"/>
        <v>0.10014667431923985</v>
      </c>
      <c r="AH35">
        <f t="shared" si="116"/>
        <v>7.882950598167994E-3</v>
      </c>
      <c r="AI35">
        <v>45129</v>
      </c>
      <c r="AJ35">
        <f t="shared" si="37"/>
        <v>59118.990000000005</v>
      </c>
      <c r="AK35">
        <f t="shared" si="121"/>
        <v>0.35990031954483281</v>
      </c>
      <c r="AL35">
        <f t="shared" si="38"/>
        <v>40.567501634999999</v>
      </c>
      <c r="AM35">
        <f t="shared" si="39"/>
        <v>8.8716412162371215E-3</v>
      </c>
      <c r="AN35">
        <v>51.81</v>
      </c>
      <c r="AO35">
        <f t="shared" si="40"/>
        <v>51810</v>
      </c>
      <c r="AP35">
        <f t="shared" si="41"/>
        <v>66316.800000000003</v>
      </c>
      <c r="AQ35">
        <f t="shared" si="122"/>
        <v>0.4005423769761578</v>
      </c>
      <c r="AR35">
        <f t="shared" si="42"/>
        <v>51.759606732800002</v>
      </c>
      <c r="AS35">
        <f t="shared" si="43"/>
        <v>7.73851275655722E-3</v>
      </c>
      <c r="AT35" s="1">
        <v>7277</v>
      </c>
      <c r="AU35" s="1">
        <f t="shared" si="44"/>
        <v>4.310406103397621E-2</v>
      </c>
      <c r="AV35" s="1">
        <f t="shared" si="45"/>
        <v>0.18000729473532015</v>
      </c>
      <c r="AW35" s="1">
        <v>68527</v>
      </c>
      <c r="AX35" s="1">
        <f t="shared" si="46"/>
        <v>83602.94</v>
      </c>
      <c r="AY35" s="1">
        <f t="shared" si="123"/>
        <v>0.49520767189499126</v>
      </c>
      <c r="AZ35" s="1">
        <f t="shared" si="47"/>
        <v>2.5159778495605255E-2</v>
      </c>
      <c r="BA35" s="1">
        <f t="shared" si="48"/>
        <v>60.4858519474</v>
      </c>
      <c r="BB35" s="1">
        <v>7222</v>
      </c>
      <c r="BC35" s="1">
        <f t="shared" si="49"/>
        <v>8810.84</v>
      </c>
      <c r="BD35" s="1">
        <f t="shared" si="50"/>
        <v>1.2107791672392469</v>
      </c>
      <c r="BE35" s="1">
        <f t="shared" si="51"/>
        <v>0.10538911669852759</v>
      </c>
      <c r="BF35" s="1">
        <f t="shared" si="52"/>
        <v>8.1871653610109708E-3</v>
      </c>
      <c r="BG35" s="1">
        <v>943</v>
      </c>
      <c r="BH35" s="1">
        <f t="shared" si="53"/>
        <v>5.8098342071701854E-3</v>
      </c>
      <c r="BI35" s="1">
        <v>40287.35</v>
      </c>
      <c r="BJ35" s="1">
        <f t="shared" si="124"/>
        <v>0.2482108421487145</v>
      </c>
      <c r="BK35" s="1">
        <v>101.2013381</v>
      </c>
      <c r="BL35" s="1">
        <v>1421.925</v>
      </c>
      <c r="BM35">
        <f t="shared" si="125"/>
        <v>1.5078738069989395</v>
      </c>
      <c r="BN35">
        <f t="shared" si="126"/>
        <v>3.5294577578321731E-2</v>
      </c>
      <c r="BO35">
        <f t="shared" si="54"/>
        <v>2.4526438761456899E-3</v>
      </c>
      <c r="BP35">
        <v>15819</v>
      </c>
      <c r="BQ35">
        <f t="shared" si="55"/>
        <v>20722.89</v>
      </c>
      <c r="BR35">
        <f t="shared" si="127"/>
        <v>0.1261553137645352</v>
      </c>
      <c r="BS35">
        <f t="shared" si="56"/>
        <v>59.525235619600004</v>
      </c>
      <c r="BT35">
        <f t="shared" si="57"/>
        <v>2.1193584947859622E-3</v>
      </c>
      <c r="BU35">
        <v>12.78</v>
      </c>
      <c r="BV35">
        <f t="shared" si="128"/>
        <v>12780</v>
      </c>
      <c r="BW35">
        <f t="shared" si="58"/>
        <v>16358.4</v>
      </c>
      <c r="BX35">
        <f t="shared" si="129"/>
        <v>9.8801999184622583E-2</v>
      </c>
      <c r="BY35">
        <f t="shared" si="59"/>
        <v>76.247206297600002</v>
      </c>
      <c r="BZ35">
        <f t="shared" si="60"/>
        <v>1.2958114006038346E-3</v>
      </c>
      <c r="CA35" s="1">
        <v>846</v>
      </c>
      <c r="CB35" s="1">
        <f t="shared" si="61"/>
        <v>5.0111358574610248E-3</v>
      </c>
      <c r="CC35" s="1">
        <f t="shared" si="62"/>
        <v>-0.13747351838774502</v>
      </c>
      <c r="CD35" s="1">
        <v>20691</v>
      </c>
      <c r="CE35" s="1">
        <f t="shared" si="63"/>
        <v>25243.02</v>
      </c>
      <c r="CF35">
        <f t="shared" si="130"/>
        <v>0.14952269819456951</v>
      </c>
      <c r="CG35">
        <f t="shared" si="64"/>
        <v>-0.39759803842499514</v>
      </c>
      <c r="CH35">
        <f t="shared" si="65"/>
        <v>90.917938902799989</v>
      </c>
      <c r="CI35" s="1">
        <v>1290</v>
      </c>
      <c r="CJ35" s="1">
        <f t="shared" si="66"/>
        <v>1573.8</v>
      </c>
      <c r="CK35">
        <f t="shared" si="67"/>
        <v>1.8602836879432623</v>
      </c>
      <c r="CL35">
        <f t="shared" si="68"/>
        <v>6.2345947513411624E-2</v>
      </c>
      <c r="CM35">
        <f t="shared" si="69"/>
        <v>1.6445896156359599E-3</v>
      </c>
      <c r="CN35" s="1">
        <v>22600</v>
      </c>
      <c r="CO35" s="1">
        <f t="shared" si="70"/>
        <v>0.1392388685917775</v>
      </c>
      <c r="CP35" s="1">
        <v>130048112</v>
      </c>
      <c r="CQ35" s="1">
        <f t="shared" si="131"/>
        <v>801.22796360074176</v>
      </c>
      <c r="CR35" s="1">
        <v>108123.0123</v>
      </c>
      <c r="CS35" s="1">
        <v>27264410</v>
      </c>
      <c r="CT35">
        <f t="shared" si="71"/>
        <v>1206.3898230088496</v>
      </c>
      <c r="CU35">
        <f t="shared" si="72"/>
        <v>0.2096486414197232</v>
      </c>
      <c r="CV35">
        <f t="shared" si="73"/>
        <v>7.4103370462676402E-3</v>
      </c>
      <c r="CW35" s="1">
        <v>15139</v>
      </c>
      <c r="CX35" s="1">
        <f t="shared" si="74"/>
        <v>8.9673269203430786E-2</v>
      </c>
      <c r="CY35" s="1">
        <f t="shared" si="75"/>
        <v>-0.35597530983725417</v>
      </c>
      <c r="CZ35" s="1">
        <v>74273222</v>
      </c>
      <c r="DA35" s="1">
        <f t="shared" si="132"/>
        <v>90613330.840000004</v>
      </c>
      <c r="DB35" s="1">
        <f t="shared" si="133"/>
        <v>536.73251931005075</v>
      </c>
      <c r="DC35" s="1">
        <f t="shared" si="76"/>
        <v>-0.33011259754594785</v>
      </c>
      <c r="DD35" s="1">
        <f t="shared" si="77"/>
        <v>93954.54819500001</v>
      </c>
      <c r="DE35" s="1">
        <v>15131652</v>
      </c>
      <c r="DF35" s="1">
        <f t="shared" si="78"/>
        <v>18460615.440000001</v>
      </c>
      <c r="DG35">
        <f t="shared" si="79"/>
        <v>1219.4078499240372</v>
      </c>
      <c r="DH35">
        <f t="shared" si="80"/>
        <v>0.20372957564706159</v>
      </c>
      <c r="DI35">
        <f t="shared" si="81"/>
        <v>5.7126826707322095E-3</v>
      </c>
      <c r="DJ35" s="1">
        <v>3356470</v>
      </c>
      <c r="DK35">
        <f t="shared" si="134"/>
        <v>20.67925156027626</v>
      </c>
      <c r="DL35">
        <v>1889.3069949999999</v>
      </c>
      <c r="DM35" s="1">
        <v>1664244</v>
      </c>
      <c r="DN35" s="3">
        <f t="shared" si="82"/>
        <v>1.0945416290207649E-2</v>
      </c>
      <c r="DO35" s="1">
        <v>5147103</v>
      </c>
      <c r="DP35" s="1">
        <f t="shared" si="83"/>
        <v>6279465.6600000001</v>
      </c>
      <c r="DQ35" s="3">
        <f t="shared" si="135"/>
        <v>37.195337511254323</v>
      </c>
      <c r="DR35" s="3">
        <f t="shared" si="84"/>
        <v>1905.8896083399998</v>
      </c>
      <c r="DS35" s="3">
        <f t="shared" si="85"/>
        <v>1127103.0030879674</v>
      </c>
      <c r="DT35" s="3">
        <f t="shared" si="86"/>
        <v>1.9515997856586711E-2</v>
      </c>
      <c r="DU35" s="3">
        <f t="shared" si="87"/>
        <v>0.67724624699741587</v>
      </c>
      <c r="DV35" s="3">
        <f t="shared" si="88"/>
        <v>405.28349126578837</v>
      </c>
      <c r="DW35" s="3">
        <f t="shared" si="89"/>
        <v>0.11942575552938094</v>
      </c>
      <c r="DX35" s="3">
        <f t="shared" si="90"/>
        <v>133523274.34999999</v>
      </c>
      <c r="DY35" s="3">
        <f t="shared" si="91"/>
        <v>822.63848013997813</v>
      </c>
      <c r="DZ35" s="3">
        <f t="shared" si="92"/>
        <v>133404582</v>
      </c>
      <c r="EA35" s="3">
        <f t="shared" si="93"/>
        <v>79841.88</v>
      </c>
      <c r="EB35" s="3">
        <f t="shared" si="94"/>
        <v>0.48605563330936802</v>
      </c>
      <c r="EC35" s="3">
        <f t="shared" si="95"/>
        <v>82675.199999999997</v>
      </c>
      <c r="ED35" s="3">
        <f t="shared" si="96"/>
        <v>0.49934437616078031</v>
      </c>
      <c r="EE35" s="9">
        <f t="shared" si="97"/>
        <v>97001642.459999993</v>
      </c>
      <c r="EF35" s="13">
        <f t="shared" si="98"/>
        <v>574.57258719139452</v>
      </c>
      <c r="EG35" s="14">
        <f t="shared" si="99"/>
        <v>-0.30154909955874337</v>
      </c>
      <c r="EH35" s="9">
        <f t="shared" si="100"/>
        <v>96892796.5</v>
      </c>
      <c r="EI35" s="10">
        <v>36827</v>
      </c>
      <c r="EJ35" s="10">
        <f t="shared" si="136"/>
        <v>48243.37</v>
      </c>
      <c r="EK35" s="10">
        <f t="shared" si="101"/>
        <v>0.29369250521566082</v>
      </c>
      <c r="EL35" s="10">
        <v>75000</v>
      </c>
      <c r="EM35" s="10">
        <f t="shared" si="137"/>
        <v>96000</v>
      </c>
      <c r="EN35" s="10">
        <f t="shared" si="102"/>
        <v>0.5798239388768931</v>
      </c>
      <c r="EO35" s="11">
        <v>1154336</v>
      </c>
      <c r="EP35" s="11">
        <f t="shared" si="138"/>
        <v>1408289.92</v>
      </c>
      <c r="EQ35" s="11">
        <f t="shared" si="103"/>
        <v>8.341763730275316</v>
      </c>
      <c r="ER35" s="10">
        <f t="shared" si="104"/>
        <v>9.2152801743678694</v>
      </c>
      <c r="ES35" s="10">
        <f t="shared" si="115"/>
        <v>14.669686666666665</v>
      </c>
      <c r="ET35" s="12">
        <v>39746</v>
      </c>
      <c r="EU35" s="12">
        <f t="shared" si="139"/>
        <v>52067.26</v>
      </c>
      <c r="EV35" s="12">
        <f t="shared" si="105"/>
        <v>0.31697130671251134</v>
      </c>
      <c r="EW35" s="10">
        <v>6000</v>
      </c>
      <c r="EX35" s="10">
        <f t="shared" si="140"/>
        <v>7680</v>
      </c>
      <c r="EY35" s="10">
        <f t="shared" si="106"/>
        <v>4.638591511015145E-2</v>
      </c>
      <c r="EZ35" s="3">
        <f t="shared" si="107"/>
        <v>88018.12</v>
      </c>
      <c r="FA35" s="3">
        <f t="shared" si="108"/>
        <v>0.52136023314220725</v>
      </c>
      <c r="FB35" s="3">
        <f t="shared" si="109"/>
        <v>0.88471745496486998</v>
      </c>
      <c r="FC35" s="1">
        <f t="shared" si="110"/>
        <v>4.8623000000000003</v>
      </c>
      <c r="FD35">
        <f>48.7/10</f>
        <v>4.87</v>
      </c>
      <c r="FE35">
        <f>5.2</f>
        <v>5.2</v>
      </c>
      <c r="FF35" s="7">
        <f t="shared" si="111"/>
        <v>6.0250000000000004</v>
      </c>
      <c r="FG35" s="1">
        <f t="shared" si="112"/>
        <v>0.16500000000000004</v>
      </c>
      <c r="FH35">
        <v>2.63E-2</v>
      </c>
      <c r="FI35">
        <v>3.4000000000000002E-2</v>
      </c>
      <c r="FJ35">
        <v>4.41E-2</v>
      </c>
      <c r="FK35">
        <v>4.0899999999999999E-2</v>
      </c>
      <c r="FL35" s="1">
        <f t="shared" si="113"/>
        <v>2.5666666666666672E-3</v>
      </c>
    </row>
    <row r="36" spans="1:168">
      <c r="A36" t="s">
        <v>108</v>
      </c>
      <c r="B36" s="1" t="s">
        <v>9</v>
      </c>
      <c r="C36" s="1">
        <v>879536</v>
      </c>
      <c r="D36" s="6">
        <f t="shared" si="117"/>
        <v>874649.59999999998</v>
      </c>
      <c r="E36" s="6">
        <f t="shared" si="118"/>
        <v>871392</v>
      </c>
      <c r="F36" s="1">
        <v>863248</v>
      </c>
      <c r="G36" s="1">
        <f t="shared" si="119"/>
        <v>-1628.8</v>
      </c>
      <c r="H36" s="1">
        <v>1.31</v>
      </c>
      <c r="I36" s="1">
        <v>1.28</v>
      </c>
      <c r="J36" s="1">
        <v>1.22</v>
      </c>
      <c r="K36">
        <v>394306</v>
      </c>
      <c r="L36">
        <f t="shared" si="24"/>
        <v>0.44831138236524715</v>
      </c>
      <c r="M36" s="1">
        <v>300915</v>
      </c>
      <c r="N36">
        <f t="shared" si="25"/>
        <v>0.34858464774896669</v>
      </c>
      <c r="O36">
        <f t="shared" si="26"/>
        <v>-0.22244970468992317</v>
      </c>
      <c r="P36">
        <f t="shared" si="27"/>
        <v>0.17679868835528234</v>
      </c>
      <c r="Q36">
        <f t="shared" si="28"/>
        <v>0.16327903362979632</v>
      </c>
      <c r="R36">
        <f t="shared" si="29"/>
        <v>569.43045250905459</v>
      </c>
      <c r="S36">
        <f t="shared" si="30"/>
        <v>522.29770956104505</v>
      </c>
      <c r="T36">
        <f t="shared" si="31"/>
        <v>734.06507663245168</v>
      </c>
      <c r="U36">
        <v>92297.113769999996</v>
      </c>
      <c r="V36">
        <f t="shared" si="32"/>
        <v>7.9532831163248163E-3</v>
      </c>
      <c r="W36">
        <f t="shared" si="33"/>
        <v>618.87085430837942</v>
      </c>
      <c r="X36">
        <v>79429.064259999999</v>
      </c>
      <c r="Y36">
        <f t="shared" si="34"/>
        <v>7.7914911886987834E-3</v>
      </c>
      <c r="Z36" s="1">
        <v>68348</v>
      </c>
      <c r="AA36" s="1">
        <f t="shared" si="35"/>
        <v>7.7709155736661151E-2</v>
      </c>
      <c r="AB36" s="1">
        <v>700154</v>
      </c>
      <c r="AC36" s="1">
        <f t="shared" si="120"/>
        <v>0.79604928052973389</v>
      </c>
      <c r="AD36" s="1">
        <v>61.278341249999997</v>
      </c>
      <c r="AE36" s="1">
        <v>96150</v>
      </c>
      <c r="AF36">
        <f t="shared" si="114"/>
        <v>1.4067712295897465</v>
      </c>
      <c r="AG36">
        <f t="shared" si="36"/>
        <v>0.13732693093233775</v>
      </c>
      <c r="AH36">
        <f t="shared" si="116"/>
        <v>1.2990711959419005E-2</v>
      </c>
      <c r="AI36">
        <v>391619</v>
      </c>
      <c r="AJ36">
        <f t="shared" si="37"/>
        <v>513020.89</v>
      </c>
      <c r="AK36">
        <f t="shared" si="121"/>
        <v>0.5865444744958439</v>
      </c>
      <c r="AL36">
        <f t="shared" si="38"/>
        <v>40.567501634999999</v>
      </c>
      <c r="AM36">
        <f t="shared" si="39"/>
        <v>1.4458481564213387E-2</v>
      </c>
      <c r="AN36">
        <v>461.87</v>
      </c>
      <c r="AO36">
        <f t="shared" si="40"/>
        <v>461870</v>
      </c>
      <c r="AP36">
        <f t="shared" si="41"/>
        <v>591193.59999999998</v>
      </c>
      <c r="AQ36">
        <f t="shared" si="122"/>
        <v>0.67844735779075316</v>
      </c>
      <c r="AR36">
        <f t="shared" si="42"/>
        <v>51.759606732800002</v>
      </c>
      <c r="AS36">
        <f t="shared" si="43"/>
        <v>1.3107660598990252E-2</v>
      </c>
      <c r="AT36" s="1">
        <v>67216</v>
      </c>
      <c r="AU36" s="1">
        <f t="shared" si="44"/>
        <v>7.7864066873019111E-2</v>
      </c>
      <c r="AV36" s="1">
        <f t="shared" si="45"/>
        <v>1.9934734187940385E-3</v>
      </c>
      <c r="AW36" s="1">
        <v>515043</v>
      </c>
      <c r="AX36" s="1">
        <f t="shared" si="46"/>
        <v>628352.46</v>
      </c>
      <c r="AY36" s="1">
        <f t="shared" si="123"/>
        <v>0.72789332845254195</v>
      </c>
      <c r="AZ36" s="1">
        <f t="shared" si="47"/>
        <v>-8.561775475990295E-2</v>
      </c>
      <c r="BA36" s="1">
        <f t="shared" si="48"/>
        <v>60.4858519474</v>
      </c>
      <c r="BB36" s="1">
        <v>76407</v>
      </c>
      <c r="BC36" s="1">
        <f t="shared" si="49"/>
        <v>93216.54</v>
      </c>
      <c r="BD36" s="1">
        <f t="shared" si="50"/>
        <v>1.3868206974529873</v>
      </c>
      <c r="BE36" s="1">
        <f t="shared" si="51"/>
        <v>0.14835072023112633</v>
      </c>
      <c r="BF36" s="1">
        <f t="shared" si="52"/>
        <v>1.2034108886910215E-2</v>
      </c>
      <c r="BG36" s="1">
        <v>49864</v>
      </c>
      <c r="BH36" s="1">
        <f t="shared" si="53"/>
        <v>5.6693529315457243E-2</v>
      </c>
      <c r="BI36" s="1">
        <v>2387219.2409999999</v>
      </c>
      <c r="BJ36" s="1">
        <f t="shared" si="124"/>
        <v>2.7141802507231083</v>
      </c>
      <c r="BK36" s="1">
        <v>101.2013381</v>
      </c>
      <c r="BL36" s="1">
        <v>105485.83100000001</v>
      </c>
      <c r="BM36">
        <f t="shared" si="125"/>
        <v>2.1154707003048294</v>
      </c>
      <c r="BN36">
        <f t="shared" si="126"/>
        <v>4.4187743290730289E-2</v>
      </c>
      <c r="BO36">
        <f t="shared" si="54"/>
        <v>2.6819608334043444E-2</v>
      </c>
      <c r="BP36">
        <v>1016876</v>
      </c>
      <c r="BQ36">
        <f t="shared" si="55"/>
        <v>1332107.56</v>
      </c>
      <c r="BR36">
        <f t="shared" si="127"/>
        <v>1.5230185436545105</v>
      </c>
      <c r="BS36">
        <f t="shared" si="56"/>
        <v>59.525235619600004</v>
      </c>
      <c r="BT36">
        <f t="shared" si="57"/>
        <v>2.5586098531175286E-2</v>
      </c>
      <c r="BU36">
        <v>1360.44</v>
      </c>
      <c r="BV36">
        <f t="shared" si="128"/>
        <v>1360440</v>
      </c>
      <c r="BW36">
        <f t="shared" si="58"/>
        <v>1741363.2</v>
      </c>
      <c r="BX36">
        <f t="shared" si="129"/>
        <v>1.9983695053431749</v>
      </c>
      <c r="BY36">
        <f t="shared" si="59"/>
        <v>76.247206297600002</v>
      </c>
      <c r="BZ36">
        <f t="shared" si="60"/>
        <v>2.6209084927562475E-2</v>
      </c>
      <c r="CA36" s="1">
        <v>37464</v>
      </c>
      <c r="CB36" s="1">
        <f t="shared" si="61"/>
        <v>4.3398884214038147E-2</v>
      </c>
      <c r="CC36" s="1">
        <f t="shared" si="62"/>
        <v>-0.23450022007704446</v>
      </c>
      <c r="CD36" s="1">
        <v>1680342</v>
      </c>
      <c r="CE36" s="1">
        <f t="shared" si="63"/>
        <v>2050017.24</v>
      </c>
      <c r="CF36">
        <f t="shared" si="130"/>
        <v>2.3747720701351174</v>
      </c>
      <c r="CG36">
        <f t="shared" si="64"/>
        <v>-0.12504997798048462</v>
      </c>
      <c r="CH36">
        <f t="shared" si="65"/>
        <v>90.917938902799989</v>
      </c>
      <c r="CI36" s="1">
        <v>76844</v>
      </c>
      <c r="CJ36" s="1">
        <f t="shared" si="66"/>
        <v>93749.68</v>
      </c>
      <c r="CK36">
        <f t="shared" si="67"/>
        <v>2.5023937646807601</v>
      </c>
      <c r="CL36">
        <f t="shared" si="68"/>
        <v>4.5731166631554764E-2</v>
      </c>
      <c r="CM36">
        <f t="shared" si="69"/>
        <v>2.6119950570744645E-2</v>
      </c>
      <c r="CN36" s="1">
        <v>81963</v>
      </c>
      <c r="CO36" s="1">
        <f t="shared" si="70"/>
        <v>9.3188908697313125E-2</v>
      </c>
      <c r="CP36" s="1">
        <v>642549288</v>
      </c>
      <c r="CQ36" s="1">
        <f t="shared" si="131"/>
        <v>730.55484710119879</v>
      </c>
      <c r="CR36" s="1">
        <v>108123.0123</v>
      </c>
      <c r="CS36" s="1">
        <v>113784105</v>
      </c>
      <c r="CT36">
        <f t="shared" si="71"/>
        <v>1388.2374364042312</v>
      </c>
      <c r="CU36">
        <f t="shared" si="72"/>
        <v>0.17708229878234649</v>
      </c>
      <c r="CV36">
        <f t="shared" si="73"/>
        <v>6.7567008314029257E-3</v>
      </c>
      <c r="CW36" s="1">
        <v>62467</v>
      </c>
      <c r="CX36" s="1">
        <f t="shared" si="74"/>
        <v>7.2362750912831536E-2</v>
      </c>
      <c r="CY36" s="1">
        <f t="shared" si="75"/>
        <v>-0.22348322429793688</v>
      </c>
      <c r="CZ36" s="1">
        <v>435705457</v>
      </c>
      <c r="DA36" s="1">
        <f t="shared" si="132"/>
        <v>531560657.53999996</v>
      </c>
      <c r="DB36" s="1">
        <f t="shared" si="133"/>
        <v>615.76818890979177</v>
      </c>
      <c r="DC36" s="1">
        <f t="shared" si="76"/>
        <v>-0.15712257422816936</v>
      </c>
      <c r="DD36" s="1">
        <f t="shared" si="77"/>
        <v>93954.54819500001</v>
      </c>
      <c r="DE36" s="1">
        <v>71404532</v>
      </c>
      <c r="DF36" s="1">
        <f t="shared" si="78"/>
        <v>87113529.039999992</v>
      </c>
      <c r="DG36">
        <f t="shared" si="79"/>
        <v>1394.5527885123345</v>
      </c>
      <c r="DH36">
        <f t="shared" si="80"/>
        <v>0.16388257446130633</v>
      </c>
      <c r="DI36">
        <f t="shared" si="81"/>
        <v>6.5538944174557924E-3</v>
      </c>
      <c r="DJ36" s="1">
        <v>89729</v>
      </c>
      <c r="DK36">
        <f t="shared" si="134"/>
        <v>0.10201856433392152</v>
      </c>
      <c r="DL36">
        <v>1889.3069949999999</v>
      </c>
      <c r="DM36" s="1">
        <v>177838</v>
      </c>
      <c r="DN36" s="3">
        <f t="shared" si="82"/>
        <v>5.3997875731107176E-5</v>
      </c>
      <c r="DO36" s="1">
        <v>353730</v>
      </c>
      <c r="DP36" s="1">
        <f t="shared" si="83"/>
        <v>431550.6</v>
      </c>
      <c r="DQ36" s="3">
        <f t="shared" si="135"/>
        <v>0.49991497229069742</v>
      </c>
      <c r="DR36" s="3">
        <f t="shared" si="84"/>
        <v>1905.8896083399998</v>
      </c>
      <c r="DS36" s="3">
        <f t="shared" si="85"/>
        <v>136204.27750753844</v>
      </c>
      <c r="DT36" s="3">
        <f t="shared" si="86"/>
        <v>2.6230006717236661E-4</v>
      </c>
      <c r="DU36" s="3">
        <f t="shared" si="87"/>
        <v>0.76588961587252691</v>
      </c>
      <c r="DV36" s="3">
        <f t="shared" si="88"/>
        <v>465.03361355143221</v>
      </c>
      <c r="DW36" s="3">
        <f t="shared" si="89"/>
        <v>0.11942690572156699</v>
      </c>
      <c r="DX36" s="3">
        <f t="shared" si="90"/>
        <v>645726390.24100006</v>
      </c>
      <c r="DY36" s="3">
        <f t="shared" si="91"/>
        <v>734.16709519678568</v>
      </c>
      <c r="DZ36" s="3">
        <f t="shared" si="92"/>
        <v>642639017</v>
      </c>
      <c r="EA36" s="3">
        <f t="shared" si="93"/>
        <v>1845128.4500000002</v>
      </c>
      <c r="EB36" s="3">
        <f t="shared" si="94"/>
        <v>2.1095630181503546</v>
      </c>
      <c r="EC36" s="3">
        <f t="shared" si="95"/>
        <v>2332556.7999999998</v>
      </c>
      <c r="ED36" s="3">
        <f t="shared" si="96"/>
        <v>2.676816863133928</v>
      </c>
      <c r="EE36" s="9">
        <f t="shared" si="97"/>
        <v>534670577.83999997</v>
      </c>
      <c r="EF36" s="13">
        <f t="shared" si="98"/>
        <v>619.37076928067017</v>
      </c>
      <c r="EG36" s="14">
        <f t="shared" si="99"/>
        <v>-0.15636266820885725</v>
      </c>
      <c r="EH36" s="9">
        <f t="shared" si="100"/>
        <v>531992208.13999999</v>
      </c>
      <c r="EI36" s="10">
        <v>567412</v>
      </c>
      <c r="EJ36" s="10">
        <f t="shared" si="136"/>
        <v>743309.72</v>
      </c>
      <c r="EK36" s="10">
        <f t="shared" si="101"/>
        <v>0.84983714621260897</v>
      </c>
      <c r="EL36" s="10">
        <v>1440000</v>
      </c>
      <c r="EM36" s="10">
        <f t="shared" si="137"/>
        <v>1843200</v>
      </c>
      <c r="EN36" s="10">
        <f t="shared" si="102"/>
        <v>2.1152363115566817</v>
      </c>
      <c r="EO36" s="11">
        <v>15394555</v>
      </c>
      <c r="EP36" s="11">
        <f t="shared" si="138"/>
        <v>18781357.099999998</v>
      </c>
      <c r="EQ36" s="11">
        <f t="shared" si="103"/>
        <v>21.756618144496134</v>
      </c>
      <c r="ER36" s="10">
        <f t="shared" si="104"/>
        <v>24.721691602265423</v>
      </c>
      <c r="ES36" s="10">
        <f t="shared" si="115"/>
        <v>10.18953835720486</v>
      </c>
      <c r="ET36" s="12">
        <v>25953</v>
      </c>
      <c r="EU36" s="12">
        <f t="shared" si="139"/>
        <v>33998.43</v>
      </c>
      <c r="EV36" s="12">
        <f t="shared" si="105"/>
        <v>3.8870914706872331E-2</v>
      </c>
      <c r="EW36" s="10">
        <v>19000</v>
      </c>
      <c r="EX36" s="10">
        <f t="shared" si="140"/>
        <v>24320</v>
      </c>
      <c r="EY36" s="10">
        <f t="shared" si="106"/>
        <v>2.7909367999706218E-2</v>
      </c>
      <c r="EZ36" s="3">
        <f t="shared" si="107"/>
        <v>193601.22878689234</v>
      </c>
      <c r="FA36" s="3">
        <f t="shared" si="108"/>
        <v>0.22427069484886422</v>
      </c>
      <c r="FB36" s="3">
        <f t="shared" si="109"/>
        <v>0.29105097755544274</v>
      </c>
      <c r="FC36" s="1">
        <f t="shared" si="110"/>
        <v>6.3422999999999998</v>
      </c>
      <c r="FD36">
        <f>63.5/10</f>
        <v>6.35</v>
      </c>
      <c r="FE36">
        <f>6.9</f>
        <v>6.9</v>
      </c>
      <c r="FF36" s="7">
        <f t="shared" si="111"/>
        <v>8.2750000000000021</v>
      </c>
      <c r="FG36" s="1">
        <f t="shared" si="112"/>
        <v>0.27500000000000036</v>
      </c>
      <c r="FH36">
        <v>2.63E-2</v>
      </c>
      <c r="FI36">
        <v>3.4000000000000002E-2</v>
      </c>
      <c r="FJ36">
        <v>4.41E-2</v>
      </c>
      <c r="FK36">
        <v>4.0899999999999999E-2</v>
      </c>
      <c r="FL36" s="1">
        <f t="shared" si="113"/>
        <v>2.5666666666666672E-3</v>
      </c>
    </row>
    <row r="37" spans="1:168">
      <c r="A37" t="s">
        <v>108</v>
      </c>
      <c r="B37" s="1" t="s">
        <v>10</v>
      </c>
      <c r="C37" s="1">
        <v>491242</v>
      </c>
      <c r="D37" s="6">
        <f t="shared" si="117"/>
        <v>495210.4</v>
      </c>
      <c r="E37" s="6">
        <f t="shared" si="118"/>
        <v>497856</v>
      </c>
      <c r="F37" s="1">
        <v>504470</v>
      </c>
      <c r="G37" s="1">
        <f t="shared" si="119"/>
        <v>1322.8</v>
      </c>
      <c r="H37" s="1">
        <v>1.31</v>
      </c>
      <c r="I37" s="1">
        <v>1.28</v>
      </c>
      <c r="J37" s="1">
        <v>1.22</v>
      </c>
      <c r="K37">
        <v>203657</v>
      </c>
      <c r="L37">
        <f t="shared" si="24"/>
        <v>0.41457570810313449</v>
      </c>
      <c r="M37" s="1">
        <v>181080</v>
      </c>
      <c r="N37">
        <f t="shared" si="25"/>
        <v>0.35895097825440564</v>
      </c>
      <c r="O37">
        <f t="shared" si="26"/>
        <v>-0.13417267042306064</v>
      </c>
      <c r="P37">
        <f t="shared" si="27"/>
        <v>0.23045417891454631</v>
      </c>
      <c r="Q37">
        <f t="shared" si="28"/>
        <v>0.23328492112837837</v>
      </c>
      <c r="R37">
        <f t="shared" si="29"/>
        <v>1009.4658818658623</v>
      </c>
      <c r="S37">
        <f t="shared" si="30"/>
        <v>1059.8752711746831</v>
      </c>
      <c r="T37">
        <f t="shared" si="31"/>
        <v>941.54012413230134</v>
      </c>
      <c r="U37">
        <v>92297.113769999996</v>
      </c>
      <c r="V37">
        <f t="shared" si="32"/>
        <v>1.0201187075888142E-2</v>
      </c>
      <c r="W37">
        <f t="shared" si="33"/>
        <v>912.03029746070126</v>
      </c>
      <c r="X37">
        <v>79429.064259999999</v>
      </c>
      <c r="Y37">
        <f t="shared" si="34"/>
        <v>1.148232458681997E-2</v>
      </c>
      <c r="Z37" s="1">
        <v>16658</v>
      </c>
      <c r="AA37" s="1">
        <f t="shared" si="35"/>
        <v>3.3909966981650594E-2</v>
      </c>
      <c r="AB37" s="1">
        <v>201122</v>
      </c>
      <c r="AC37" s="1">
        <f t="shared" si="120"/>
        <v>0.40941531872274767</v>
      </c>
      <c r="AD37" s="1">
        <v>61.278341249999997</v>
      </c>
      <c r="AE37" s="1">
        <v>21414</v>
      </c>
      <c r="AF37">
        <f t="shared" si="114"/>
        <v>1.2855084644014887</v>
      </c>
      <c r="AG37">
        <f t="shared" si="36"/>
        <v>0.10647268821909089</v>
      </c>
      <c r="AH37">
        <f t="shared" si="116"/>
        <v>6.6812402289487182E-3</v>
      </c>
      <c r="AI37">
        <v>113111</v>
      </c>
      <c r="AJ37">
        <f t="shared" si="37"/>
        <v>148175.41</v>
      </c>
      <c r="AK37">
        <f t="shared" si="121"/>
        <v>0.2992170802551804</v>
      </c>
      <c r="AL37">
        <f t="shared" si="38"/>
        <v>40.567501634999999</v>
      </c>
      <c r="AM37">
        <f t="shared" si="39"/>
        <v>7.3757827866093679E-3</v>
      </c>
      <c r="AN37">
        <v>148.08000000000001</v>
      </c>
      <c r="AO37">
        <f t="shared" si="40"/>
        <v>148080</v>
      </c>
      <c r="AP37">
        <f t="shared" si="41"/>
        <v>189542.39999999999</v>
      </c>
      <c r="AQ37">
        <f t="shared" si="122"/>
        <v>0.38071731585036633</v>
      </c>
      <c r="AR37">
        <f t="shared" si="42"/>
        <v>51.759606732800002</v>
      </c>
      <c r="AS37">
        <f t="shared" si="43"/>
        <v>7.3554908911065238E-3</v>
      </c>
      <c r="AT37" s="1">
        <v>20227</v>
      </c>
      <c r="AU37" s="1">
        <f t="shared" si="44"/>
        <v>4.0095545820365931E-2</v>
      </c>
      <c r="AV37" s="1">
        <f t="shared" si="45"/>
        <v>0.18241182134038897</v>
      </c>
      <c r="AW37" s="1">
        <v>185995</v>
      </c>
      <c r="AX37" s="1">
        <f t="shared" si="46"/>
        <v>226913.9</v>
      </c>
      <c r="AY37" s="1">
        <f t="shared" si="123"/>
        <v>0.44980652962515116</v>
      </c>
      <c r="AZ37" s="1">
        <f t="shared" si="47"/>
        <v>9.8655836885663914E-2</v>
      </c>
      <c r="BA37" s="1">
        <f t="shared" si="48"/>
        <v>60.4858519474</v>
      </c>
      <c r="BB37" s="1">
        <v>20779</v>
      </c>
      <c r="BC37" s="1">
        <f t="shared" si="49"/>
        <v>25350.38</v>
      </c>
      <c r="BD37" s="1">
        <f t="shared" si="50"/>
        <v>1.2532941118307213</v>
      </c>
      <c r="BE37" s="1">
        <f t="shared" si="51"/>
        <v>0.11171805693701445</v>
      </c>
      <c r="BF37" s="1">
        <f t="shared" si="52"/>
        <v>7.4365577261987495E-3</v>
      </c>
      <c r="BG37" s="1">
        <v>3824</v>
      </c>
      <c r="BH37" s="1">
        <f t="shared" si="53"/>
        <v>7.7843506866269582E-3</v>
      </c>
      <c r="BI37" s="1">
        <v>97692.659</v>
      </c>
      <c r="BJ37" s="1">
        <f t="shared" si="124"/>
        <v>0.19886870218751654</v>
      </c>
      <c r="BK37" s="1">
        <v>101.2013381</v>
      </c>
      <c r="BL37" s="1">
        <v>6302.2340000000004</v>
      </c>
      <c r="BM37">
        <f t="shared" si="125"/>
        <v>1.6480737447698746</v>
      </c>
      <c r="BN37">
        <f t="shared" si="126"/>
        <v>6.4510824707924061E-2</v>
      </c>
      <c r="BO37">
        <f t="shared" si="54"/>
        <v>1.9650797699039173E-3</v>
      </c>
      <c r="BP37">
        <v>58386</v>
      </c>
      <c r="BQ37">
        <f t="shared" si="55"/>
        <v>76485.66</v>
      </c>
      <c r="BR37">
        <f t="shared" si="127"/>
        <v>0.15445083544287438</v>
      </c>
      <c r="BS37">
        <f t="shared" si="56"/>
        <v>59.525235619600004</v>
      </c>
      <c r="BT37">
        <f t="shared" si="57"/>
        <v>2.594711870271338E-3</v>
      </c>
      <c r="BU37">
        <v>77.59</v>
      </c>
      <c r="BV37">
        <f t="shared" si="128"/>
        <v>77590</v>
      </c>
      <c r="BW37">
        <f t="shared" si="58"/>
        <v>99315.199999999997</v>
      </c>
      <c r="BX37">
        <f t="shared" si="129"/>
        <v>0.19948579508934311</v>
      </c>
      <c r="BY37">
        <f t="shared" si="59"/>
        <v>76.247206297600002</v>
      </c>
      <c r="BZ37">
        <f t="shared" si="60"/>
        <v>2.6163030067059942E-3</v>
      </c>
      <c r="CA37" s="1">
        <v>3751</v>
      </c>
      <c r="CB37" s="1">
        <f t="shared" si="61"/>
        <v>7.4355263940373067E-3</v>
      </c>
      <c r="CC37" s="1">
        <f t="shared" si="62"/>
        <v>-4.4810968394436601E-2</v>
      </c>
      <c r="CD37" s="1">
        <v>100798</v>
      </c>
      <c r="CE37" s="1">
        <f t="shared" si="63"/>
        <v>122973.56</v>
      </c>
      <c r="CF37">
        <f t="shared" si="130"/>
        <v>0.24376783555018136</v>
      </c>
      <c r="CG37">
        <f t="shared" si="64"/>
        <v>0.2257727478923692</v>
      </c>
      <c r="CH37">
        <f t="shared" si="65"/>
        <v>90.917938902799989</v>
      </c>
      <c r="CI37" s="1">
        <v>6412</v>
      </c>
      <c r="CJ37" s="1">
        <f t="shared" si="66"/>
        <v>7822.6399999999994</v>
      </c>
      <c r="CK37">
        <f t="shared" si="67"/>
        <v>2.0854812050119969</v>
      </c>
      <c r="CL37">
        <f t="shared" si="68"/>
        <v>6.3612373261374228E-2</v>
      </c>
      <c r="CM37">
        <f t="shared" si="69"/>
        <v>2.6811852368408022E-3</v>
      </c>
      <c r="CN37" s="1">
        <v>83620</v>
      </c>
      <c r="CO37" s="1">
        <f t="shared" si="70"/>
        <v>0.17022160157315538</v>
      </c>
      <c r="CP37" s="1">
        <v>462225239</v>
      </c>
      <c r="CQ37" s="1">
        <f t="shared" si="131"/>
        <v>940.93184011139112</v>
      </c>
      <c r="CR37" s="1">
        <v>108123.0123</v>
      </c>
      <c r="CS37" s="1">
        <v>105059701</v>
      </c>
      <c r="CT37">
        <f t="shared" si="71"/>
        <v>1256.3944152116719</v>
      </c>
      <c r="CU37">
        <f t="shared" si="72"/>
        <v>0.22729113889862687</v>
      </c>
      <c r="CV37">
        <f t="shared" si="73"/>
        <v>8.7024197725888847E-3</v>
      </c>
      <c r="CW37" s="1">
        <v>78373</v>
      </c>
      <c r="CX37" s="1">
        <f t="shared" si="74"/>
        <v>0.15535710745931375</v>
      </c>
      <c r="CY37" s="1">
        <f t="shared" si="75"/>
        <v>-8.7324369976940847E-2</v>
      </c>
      <c r="CZ37" s="1">
        <v>376837735</v>
      </c>
      <c r="DA37" s="1">
        <f t="shared" si="132"/>
        <v>459742036.69999999</v>
      </c>
      <c r="DB37" s="1">
        <f t="shared" si="133"/>
        <v>911.33672309552594</v>
      </c>
      <c r="DC37" s="1">
        <f t="shared" si="76"/>
        <v>-3.1452987086037602E-2</v>
      </c>
      <c r="DD37" s="1">
        <f t="shared" si="77"/>
        <v>93954.54819500001</v>
      </c>
      <c r="DE37" s="1">
        <v>88890263</v>
      </c>
      <c r="DF37" s="1">
        <f t="shared" si="78"/>
        <v>108446120.86</v>
      </c>
      <c r="DG37">
        <f t="shared" si="79"/>
        <v>1383.7178729919742</v>
      </c>
      <c r="DH37">
        <f t="shared" si="80"/>
        <v>0.23588471839212174</v>
      </c>
      <c r="DI37">
        <f t="shared" si="81"/>
        <v>9.6997616464939238E-3</v>
      </c>
      <c r="DJ37" s="1">
        <v>3746915</v>
      </c>
      <c r="DK37">
        <f t="shared" si="134"/>
        <v>7.6274321006754304</v>
      </c>
      <c r="DL37">
        <v>1889.3069949999999</v>
      </c>
      <c r="DM37" s="1">
        <v>2366676</v>
      </c>
      <c r="DN37" s="3">
        <f t="shared" si="82"/>
        <v>4.0371586623355674E-3</v>
      </c>
      <c r="DO37" s="1">
        <v>4029357</v>
      </c>
      <c r="DP37" s="1">
        <f t="shared" si="83"/>
        <v>4915815.54</v>
      </c>
      <c r="DQ37" s="3">
        <f t="shared" si="135"/>
        <v>9.7445151148730353</v>
      </c>
      <c r="DR37" s="3">
        <f t="shared" si="84"/>
        <v>1905.8896083399998</v>
      </c>
      <c r="DS37" s="3">
        <f t="shared" si="85"/>
        <v>2443064.5274216393</v>
      </c>
      <c r="DT37" s="3">
        <f t="shared" si="86"/>
        <v>5.112843405112197E-3</v>
      </c>
      <c r="DU37" s="3">
        <f t="shared" si="87"/>
        <v>1.0322767152840691</v>
      </c>
      <c r="DV37" s="3">
        <f t="shared" si="88"/>
        <v>441.06410762161005</v>
      </c>
      <c r="DW37" s="3">
        <f t="shared" si="89"/>
        <v>0.13491496673602535</v>
      </c>
      <c r="DX37" s="3">
        <f t="shared" si="90"/>
        <v>466270968.65899998</v>
      </c>
      <c r="DY37" s="3">
        <f t="shared" si="91"/>
        <v>949.16755623297684</v>
      </c>
      <c r="DZ37" s="3">
        <f t="shared" si="92"/>
        <v>465972154</v>
      </c>
      <c r="EA37" s="3">
        <f t="shared" si="93"/>
        <v>224661.07</v>
      </c>
      <c r="EB37" s="3">
        <f t="shared" si="94"/>
        <v>0.45366791569805481</v>
      </c>
      <c r="EC37" s="3">
        <f t="shared" si="95"/>
        <v>288857.59999999998</v>
      </c>
      <c r="ED37" s="3">
        <f t="shared" si="96"/>
        <v>0.58020311093970944</v>
      </c>
      <c r="EE37" s="9">
        <f t="shared" si="97"/>
        <v>465007739.69999999</v>
      </c>
      <c r="EF37" s="13">
        <f t="shared" si="98"/>
        <v>921.77481257557429</v>
      </c>
      <c r="EG37" s="14">
        <f t="shared" si="99"/>
        <v>-2.8859755558984672E-2</v>
      </c>
      <c r="EH37" s="9">
        <f t="shared" si="100"/>
        <v>464657852.24000001</v>
      </c>
      <c r="EI37" s="10">
        <v>274763</v>
      </c>
      <c r="EJ37" s="10">
        <f t="shared" si="136"/>
        <v>359939.53</v>
      </c>
      <c r="EK37" s="10">
        <f t="shared" si="101"/>
        <v>0.72684162125835805</v>
      </c>
      <c r="EL37" s="10">
        <v>177000</v>
      </c>
      <c r="EM37" s="10">
        <f t="shared" si="137"/>
        <v>226560</v>
      </c>
      <c r="EN37" s="10">
        <f t="shared" si="102"/>
        <v>0.45507134593135362</v>
      </c>
      <c r="EO37" s="11">
        <v>1981362</v>
      </c>
      <c r="EP37" s="11">
        <f t="shared" si="138"/>
        <v>2417261.64</v>
      </c>
      <c r="EQ37" s="11">
        <f t="shared" si="103"/>
        <v>4.7916856106408705</v>
      </c>
      <c r="ER37" s="10">
        <f t="shared" si="104"/>
        <v>5.9735985778305825</v>
      </c>
      <c r="ES37" s="10">
        <f t="shared" si="115"/>
        <v>10.669410487288136</v>
      </c>
      <c r="ET37" s="12">
        <v>115675</v>
      </c>
      <c r="EU37" s="12">
        <f t="shared" si="139"/>
        <v>151534.25</v>
      </c>
      <c r="EV37" s="12">
        <f t="shared" si="105"/>
        <v>0.30599973263889446</v>
      </c>
      <c r="EW37" s="10">
        <v>24000</v>
      </c>
      <c r="EX37" s="10">
        <f t="shared" si="140"/>
        <v>30720</v>
      </c>
      <c r="EY37" s="10">
        <f t="shared" si="106"/>
        <v>6.1704589278827611E-2</v>
      </c>
      <c r="EZ37" s="3">
        <f t="shared" si="107"/>
        <v>256065.85169491527</v>
      </c>
      <c r="FA37" s="3">
        <f t="shared" si="108"/>
        <v>0.50759381468653297</v>
      </c>
      <c r="FB37" s="3">
        <f t="shared" si="109"/>
        <v>0.87529813660425504</v>
      </c>
      <c r="FC37" s="1">
        <f t="shared" si="110"/>
        <v>3.8923000000000001</v>
      </c>
      <c r="FD37">
        <f>39/10</f>
        <v>3.9</v>
      </c>
      <c r="FE37">
        <f>4.7</f>
        <v>4.7</v>
      </c>
      <c r="FF37" s="7">
        <f t="shared" si="111"/>
        <v>6.7000000000000011</v>
      </c>
      <c r="FG37" s="1">
        <f t="shared" si="112"/>
        <v>0.40000000000000013</v>
      </c>
      <c r="FH37">
        <v>2.63E-2</v>
      </c>
      <c r="FI37">
        <v>3.4000000000000002E-2</v>
      </c>
      <c r="FJ37">
        <v>4.41E-2</v>
      </c>
      <c r="FK37">
        <v>4.0899999999999999E-2</v>
      </c>
      <c r="FL37" s="1">
        <f t="shared" si="113"/>
        <v>2.5666666666666672E-3</v>
      </c>
    </row>
    <row r="38" spans="1:168">
      <c r="A38" t="s">
        <v>133</v>
      </c>
      <c r="B38" s="1" t="s">
        <v>90</v>
      </c>
      <c r="C38" s="1">
        <v>804874</v>
      </c>
      <c r="D38" s="6">
        <f t="shared" si="117"/>
        <v>821141.8</v>
      </c>
      <c r="E38" s="6">
        <f t="shared" si="118"/>
        <v>831987</v>
      </c>
      <c r="F38" s="1">
        <v>859100</v>
      </c>
      <c r="G38" s="1">
        <f t="shared" si="119"/>
        <v>5422.6</v>
      </c>
      <c r="H38" s="1">
        <v>1.31</v>
      </c>
      <c r="I38" s="1">
        <v>1.28</v>
      </c>
      <c r="J38" s="1">
        <v>1.22</v>
      </c>
      <c r="K38">
        <v>362108</v>
      </c>
      <c r="L38">
        <f t="shared" si="24"/>
        <v>0.44989402067901313</v>
      </c>
      <c r="M38" s="1">
        <v>348358</v>
      </c>
      <c r="N38">
        <f t="shared" si="25"/>
        <v>0.40549179373763239</v>
      </c>
      <c r="O38">
        <f t="shared" si="26"/>
        <v>-9.869485901227501E-2</v>
      </c>
      <c r="P38">
        <f t="shared" si="27"/>
        <v>0.12065926387582443</v>
      </c>
      <c r="Q38">
        <f t="shared" si="28"/>
        <v>0.12534882416226226</v>
      </c>
      <c r="R38">
        <f t="shared" si="29"/>
        <v>674.42901624868034</v>
      </c>
      <c r="S38">
        <f t="shared" si="30"/>
        <v>704.5008948892953</v>
      </c>
      <c r="T38">
        <f t="shared" si="31"/>
        <v>1013.6240516925631</v>
      </c>
      <c r="U38">
        <v>92297.113769999996</v>
      </c>
      <c r="V38">
        <f t="shared" si="32"/>
        <v>1.0982185794221755E-2</v>
      </c>
      <c r="W38">
        <f t="shared" si="33"/>
        <v>918.84357513677094</v>
      </c>
      <c r="X38">
        <v>79429.064259999999</v>
      </c>
      <c r="Y38">
        <f t="shared" si="34"/>
        <v>1.1568102730369128E-2</v>
      </c>
      <c r="Z38" s="1">
        <v>38907</v>
      </c>
      <c r="AA38" s="1">
        <f t="shared" si="35"/>
        <v>4.8339243161041358E-2</v>
      </c>
      <c r="AB38" s="1">
        <v>406352</v>
      </c>
      <c r="AC38" s="1">
        <f t="shared" si="120"/>
        <v>0.50486411537706521</v>
      </c>
      <c r="AD38" s="1">
        <v>61.278341249999997</v>
      </c>
      <c r="AE38" s="1">
        <v>47873</v>
      </c>
      <c r="AF38">
        <f t="shared" si="114"/>
        <v>1.2304469632713908</v>
      </c>
      <c r="AG38">
        <f t="shared" si="36"/>
        <v>0.1178116509823995</v>
      </c>
      <c r="AH38">
        <f t="shared" si="116"/>
        <v>8.2388671931792092E-3</v>
      </c>
      <c r="AI38">
        <v>251461</v>
      </c>
      <c r="AJ38">
        <f t="shared" si="37"/>
        <v>329413.91000000003</v>
      </c>
      <c r="AK38">
        <f t="shared" si="121"/>
        <v>0.40116568173730777</v>
      </c>
      <c r="AL38">
        <f t="shared" si="38"/>
        <v>40.567501634999999</v>
      </c>
      <c r="AM38">
        <f t="shared" si="39"/>
        <v>9.8888436696628682E-3</v>
      </c>
      <c r="AN38">
        <v>301.14</v>
      </c>
      <c r="AO38">
        <f t="shared" si="40"/>
        <v>301140</v>
      </c>
      <c r="AP38">
        <f t="shared" si="41"/>
        <v>385459.20000000001</v>
      </c>
      <c r="AQ38">
        <f t="shared" si="122"/>
        <v>0.46329954674772567</v>
      </c>
      <c r="AR38">
        <f t="shared" si="42"/>
        <v>51.759606732800002</v>
      </c>
      <c r="AS38">
        <f t="shared" si="43"/>
        <v>8.9509866089097102E-3</v>
      </c>
      <c r="AT38" s="1">
        <v>46238</v>
      </c>
      <c r="AU38" s="1">
        <f t="shared" si="44"/>
        <v>5.3821441042951924E-2</v>
      </c>
      <c r="AV38" s="1">
        <f t="shared" si="45"/>
        <v>0.11341091675032475</v>
      </c>
      <c r="AW38" s="1">
        <v>380103</v>
      </c>
      <c r="AX38" s="1">
        <f t="shared" si="46"/>
        <v>463725.66</v>
      </c>
      <c r="AY38" s="1">
        <f t="shared" si="123"/>
        <v>0.53978077057385632</v>
      </c>
      <c r="AZ38" s="1">
        <f t="shared" si="47"/>
        <v>6.9160501080004627E-2</v>
      </c>
      <c r="BA38" s="1">
        <f t="shared" si="48"/>
        <v>60.4858519474</v>
      </c>
      <c r="BB38" s="1">
        <v>45345</v>
      </c>
      <c r="BC38" s="1">
        <f t="shared" si="49"/>
        <v>55320.9</v>
      </c>
      <c r="BD38" s="1">
        <f t="shared" si="50"/>
        <v>1.1964379947229551</v>
      </c>
      <c r="BE38" s="1">
        <f t="shared" si="51"/>
        <v>0.1192966117078792</v>
      </c>
      <c r="BF38" s="1">
        <f t="shared" si="52"/>
        <v>8.9240831234924673E-3</v>
      </c>
      <c r="BG38" s="1">
        <v>18465</v>
      </c>
      <c r="BH38" s="1">
        <f t="shared" si="53"/>
        <v>2.2941479038955166E-2</v>
      </c>
      <c r="BI38" s="1">
        <v>651095.98199999996</v>
      </c>
      <c r="BJ38" s="1">
        <f t="shared" si="124"/>
        <v>0.80894150140270393</v>
      </c>
      <c r="BK38" s="1">
        <v>101.2013381</v>
      </c>
      <c r="BL38" s="1">
        <v>29350.906999999999</v>
      </c>
      <c r="BM38">
        <f t="shared" si="125"/>
        <v>1.589542756566477</v>
      </c>
      <c r="BN38">
        <f t="shared" si="126"/>
        <v>4.5079232265942626E-2</v>
      </c>
      <c r="BO38">
        <f t="shared" si="54"/>
        <v>7.9933874056424548E-3</v>
      </c>
      <c r="BP38">
        <v>365392</v>
      </c>
      <c r="BQ38">
        <f t="shared" si="55"/>
        <v>478663.52</v>
      </c>
      <c r="BR38">
        <f t="shared" si="127"/>
        <v>0.58292431343770346</v>
      </c>
      <c r="BS38">
        <f t="shared" si="56"/>
        <v>59.525235619600004</v>
      </c>
      <c r="BT38">
        <f t="shared" si="57"/>
        <v>9.7928938435946772E-3</v>
      </c>
      <c r="BU38">
        <v>424.48</v>
      </c>
      <c r="BV38">
        <f t="shared" si="128"/>
        <v>424480</v>
      </c>
      <c r="BW38">
        <f t="shared" si="58"/>
        <v>543334.40000000002</v>
      </c>
      <c r="BX38">
        <f t="shared" si="129"/>
        <v>0.65305635785174532</v>
      </c>
      <c r="BY38">
        <f t="shared" si="59"/>
        <v>76.247206297600002</v>
      </c>
      <c r="BZ38">
        <f t="shared" si="60"/>
        <v>8.5649873557701907E-3</v>
      </c>
      <c r="CA38" s="1">
        <v>17715</v>
      </c>
      <c r="CB38" s="1">
        <f t="shared" si="61"/>
        <v>2.0620416715167036E-2</v>
      </c>
      <c r="CC38" s="1">
        <f t="shared" si="62"/>
        <v>-0.10117317718909546</v>
      </c>
      <c r="CD38" s="1">
        <v>578628</v>
      </c>
      <c r="CE38" s="1">
        <f t="shared" si="63"/>
        <v>705926.16</v>
      </c>
      <c r="CF38">
        <f t="shared" si="130"/>
        <v>0.82170429519264354</v>
      </c>
      <c r="CG38">
        <f t="shared" si="64"/>
        <v>1.5777152943456274E-2</v>
      </c>
      <c r="CH38">
        <f t="shared" si="65"/>
        <v>90.917938902799989</v>
      </c>
      <c r="CI38" s="1">
        <v>28222</v>
      </c>
      <c r="CJ38" s="1">
        <f t="shared" si="66"/>
        <v>34430.839999999997</v>
      </c>
      <c r="CK38">
        <f t="shared" si="67"/>
        <v>1.9435980807225512</v>
      </c>
      <c r="CL38">
        <f t="shared" si="68"/>
        <v>4.8773996419115555E-2</v>
      </c>
      <c r="CM38">
        <f t="shared" si="69"/>
        <v>9.0378676101657389E-3</v>
      </c>
      <c r="CN38" s="1">
        <v>85655</v>
      </c>
      <c r="CO38" s="1">
        <f t="shared" si="70"/>
        <v>0.10642038381162766</v>
      </c>
      <c r="CP38" s="1">
        <v>814782197</v>
      </c>
      <c r="CQ38" s="1">
        <f t="shared" si="131"/>
        <v>1012.3102460757833</v>
      </c>
      <c r="CR38" s="1">
        <v>108123.0123</v>
      </c>
      <c r="CS38" s="1">
        <v>96384335</v>
      </c>
      <c r="CT38">
        <f t="shared" si="71"/>
        <v>1125.2622146984997</v>
      </c>
      <c r="CU38">
        <f t="shared" si="72"/>
        <v>0.1182946011276189</v>
      </c>
      <c r="CV38">
        <f t="shared" si="73"/>
        <v>9.3625790157141533E-3</v>
      </c>
      <c r="CW38" s="1">
        <v>76556</v>
      </c>
      <c r="CX38" s="1">
        <f t="shared" si="74"/>
        <v>8.9111861250145502E-2</v>
      </c>
      <c r="CY38" s="1">
        <f t="shared" si="75"/>
        <v>-0.16264292555192797</v>
      </c>
      <c r="CZ38" s="1">
        <v>646072839</v>
      </c>
      <c r="DA38" s="1">
        <f t="shared" si="132"/>
        <v>788208863.57999992</v>
      </c>
      <c r="DB38" s="1">
        <f t="shared" si="133"/>
        <v>917.48209007100445</v>
      </c>
      <c r="DC38" s="1">
        <f t="shared" si="76"/>
        <v>-9.3674993780197169E-2</v>
      </c>
      <c r="DD38" s="1">
        <f t="shared" si="77"/>
        <v>93954.54819500001</v>
      </c>
      <c r="DE38" s="1">
        <v>81064725</v>
      </c>
      <c r="DF38" s="1">
        <f t="shared" si="78"/>
        <v>98898964.5</v>
      </c>
      <c r="DG38">
        <f t="shared" si="79"/>
        <v>1291.8512526777783</v>
      </c>
      <c r="DH38">
        <f t="shared" si="80"/>
        <v>0.12547304283132077</v>
      </c>
      <c r="DI38">
        <f t="shared" si="81"/>
        <v>9.7651695175713718E-3</v>
      </c>
      <c r="DJ38" s="1">
        <v>87162</v>
      </c>
      <c r="DK38">
        <f t="shared" si="134"/>
        <v>0.10829272656341241</v>
      </c>
      <c r="DL38">
        <v>1889.3069949999999</v>
      </c>
      <c r="DM38" s="1">
        <v>1987569</v>
      </c>
      <c r="DN38" s="3">
        <f t="shared" si="82"/>
        <v>5.7318755951259478E-5</v>
      </c>
      <c r="DO38" s="1">
        <v>268415</v>
      </c>
      <c r="DP38" s="1">
        <f t="shared" si="83"/>
        <v>327466.3</v>
      </c>
      <c r="DQ38" s="3">
        <f t="shared" si="135"/>
        <v>0.38117367011989289</v>
      </c>
      <c r="DR38" s="3">
        <f t="shared" si="84"/>
        <v>1905.8896083399998</v>
      </c>
      <c r="DS38" s="3">
        <f t="shared" si="85"/>
        <v>2039640.5156390551</v>
      </c>
      <c r="DT38" s="3">
        <f t="shared" si="86"/>
        <v>1.9999776925794208E-4</v>
      </c>
      <c r="DU38" s="3">
        <f t="shared" si="87"/>
        <v>1.026198595187918</v>
      </c>
      <c r="DV38" s="3">
        <f t="shared" si="88"/>
        <v>403.84558219526025</v>
      </c>
      <c r="DW38" s="3">
        <f t="shared" si="89"/>
        <v>9.578818922237943E-2</v>
      </c>
      <c r="DX38" s="3">
        <f t="shared" si="90"/>
        <v>815926806.98199999</v>
      </c>
      <c r="DY38" s="3">
        <f t="shared" si="91"/>
        <v>1013.7323444191264</v>
      </c>
      <c r="DZ38" s="3">
        <f t="shared" si="92"/>
        <v>814869359</v>
      </c>
      <c r="EA38" s="3">
        <f t="shared" si="93"/>
        <v>808077.43</v>
      </c>
      <c r="EB38" s="3">
        <f t="shared" si="94"/>
        <v>0.98408999517501117</v>
      </c>
      <c r="EC38" s="3">
        <f t="shared" si="95"/>
        <v>928793.60000000009</v>
      </c>
      <c r="ED38" s="3">
        <f t="shared" si="96"/>
        <v>1.1163559045994711</v>
      </c>
      <c r="EE38" s="9">
        <f t="shared" si="97"/>
        <v>789705981.69999993</v>
      </c>
      <c r="EF38" s="13">
        <f t="shared" si="98"/>
        <v>919.22474880689083</v>
      </c>
      <c r="EG38" s="14">
        <f t="shared" si="99"/>
        <v>-9.3227365322341493E-2</v>
      </c>
      <c r="EH38" s="9">
        <f t="shared" si="100"/>
        <v>788536329.87999988</v>
      </c>
      <c r="EI38" s="10">
        <v>565415</v>
      </c>
      <c r="EJ38" s="10">
        <f t="shared" si="136"/>
        <v>740693.65</v>
      </c>
      <c r="EK38" s="10">
        <f t="shared" si="101"/>
        <v>0.9020289187567847</v>
      </c>
      <c r="EL38" s="10">
        <v>707000</v>
      </c>
      <c r="EM38" s="10">
        <f t="shared" si="137"/>
        <v>904960</v>
      </c>
      <c r="EN38" s="10">
        <f t="shared" si="102"/>
        <v>1.0877093031501694</v>
      </c>
      <c r="EO38" s="11">
        <v>3364381</v>
      </c>
      <c r="EP38" s="11">
        <f t="shared" si="138"/>
        <v>4104544.82</v>
      </c>
      <c r="EQ38" s="11">
        <f t="shared" si="103"/>
        <v>4.777726481201257</v>
      </c>
      <c r="ER38" s="10">
        <f t="shared" si="104"/>
        <v>6.7674647031082111</v>
      </c>
      <c r="ES38" s="10">
        <f t="shared" si="115"/>
        <v>4.5356091097949083</v>
      </c>
      <c r="ET38" s="12">
        <v>339143</v>
      </c>
      <c r="EU38" s="12">
        <f t="shared" si="139"/>
        <v>444277.33</v>
      </c>
      <c r="EV38" s="12">
        <f t="shared" si="105"/>
        <v>0.54104824526044104</v>
      </c>
      <c r="EW38" s="10">
        <v>63000</v>
      </c>
      <c r="EX38" s="10">
        <f t="shared" si="140"/>
        <v>80640</v>
      </c>
      <c r="EY38" s="10">
        <f t="shared" si="106"/>
        <v>9.692459136981707E-2</v>
      </c>
      <c r="EZ38" s="3">
        <f t="shared" si="107"/>
        <v>285743.37391707924</v>
      </c>
      <c r="FA38" s="3">
        <f t="shared" si="108"/>
        <v>0.33260781505887466</v>
      </c>
      <c r="FB38" s="3">
        <f t="shared" si="109"/>
        <v>0.97058065168913288</v>
      </c>
      <c r="FC38" s="1">
        <f t="shared" si="110"/>
        <v>4.8923000000000005</v>
      </c>
      <c r="FD38">
        <f>49/10</f>
        <v>4.9000000000000004</v>
      </c>
      <c r="FE38">
        <f>5.6</f>
        <v>5.6</v>
      </c>
      <c r="FF38" s="7">
        <f t="shared" si="111"/>
        <v>7.3499999999999979</v>
      </c>
      <c r="FG38" s="1">
        <f t="shared" si="112"/>
        <v>0.34999999999999964</v>
      </c>
      <c r="FH38">
        <v>2.63E-2</v>
      </c>
      <c r="FI38">
        <v>3.4000000000000002E-2</v>
      </c>
      <c r="FJ38">
        <v>4.41E-2</v>
      </c>
      <c r="FK38">
        <v>4.0899999999999999E-2</v>
      </c>
      <c r="FL38" s="1">
        <f t="shared" si="113"/>
        <v>2.5666666666666672E-3</v>
      </c>
    </row>
    <row r="39" spans="1:168">
      <c r="A39" t="s">
        <v>107</v>
      </c>
      <c r="B39" s="1" t="s">
        <v>3</v>
      </c>
      <c r="C39" s="1">
        <v>134645</v>
      </c>
      <c r="D39" s="6">
        <f t="shared" si="117"/>
        <v>138051.5</v>
      </c>
      <c r="E39" s="6">
        <f t="shared" si="118"/>
        <v>140322.5</v>
      </c>
      <c r="F39" s="1">
        <v>146000</v>
      </c>
      <c r="G39" s="1">
        <f t="shared" si="119"/>
        <v>1135.5</v>
      </c>
      <c r="H39" s="1">
        <v>1.31</v>
      </c>
      <c r="I39" s="1">
        <v>1.28</v>
      </c>
      <c r="J39" s="1">
        <v>1.22</v>
      </c>
      <c r="K39">
        <v>54779</v>
      </c>
      <c r="L39">
        <f t="shared" si="24"/>
        <v>0.40684020943963756</v>
      </c>
      <c r="M39" s="1">
        <v>52030</v>
      </c>
      <c r="N39">
        <f t="shared" si="25"/>
        <v>0.35636986301369861</v>
      </c>
      <c r="O39">
        <f t="shared" si="26"/>
        <v>-0.12405446967853648</v>
      </c>
      <c r="P39">
        <f t="shared" si="27"/>
        <v>0.18991727932938032</v>
      </c>
      <c r="Q39">
        <f t="shared" si="28"/>
        <v>0.17520339098043786</v>
      </c>
      <c r="R39">
        <f t="shared" si="29"/>
        <v>547.84524756405631</v>
      </c>
      <c r="S39">
        <f t="shared" si="30"/>
        <v>544.72935142524432</v>
      </c>
      <c r="T39">
        <f t="shared" si="31"/>
        <v>429.18910046418358</v>
      </c>
      <c r="U39">
        <v>92297.113769999996</v>
      </c>
      <c r="V39">
        <f t="shared" si="32"/>
        <v>4.6500814915372366E-3</v>
      </c>
      <c r="W39">
        <f t="shared" si="33"/>
        <v>406.66034383561646</v>
      </c>
      <c r="X39">
        <v>79429.064259999999</v>
      </c>
      <c r="Y39">
        <f t="shared" si="34"/>
        <v>5.1197927059101487E-3</v>
      </c>
      <c r="Z39" s="1">
        <v>6459</v>
      </c>
      <c r="AA39" s="1">
        <f t="shared" si="35"/>
        <v>4.7970589327490806E-2</v>
      </c>
      <c r="AB39" s="1">
        <v>72650</v>
      </c>
      <c r="AC39" s="1">
        <f t="shared" si="120"/>
        <v>0.5395670095436147</v>
      </c>
      <c r="AD39" s="1">
        <v>61.278341249999997</v>
      </c>
      <c r="AE39" s="1">
        <v>8522</v>
      </c>
      <c r="AF39">
        <f t="shared" si="114"/>
        <v>1.3193992878154512</v>
      </c>
      <c r="AG39">
        <f t="shared" si="36"/>
        <v>0.11730213351686167</v>
      </c>
      <c r="AH39">
        <f t="shared" si="116"/>
        <v>8.8051830147020289E-3</v>
      </c>
      <c r="AI39">
        <v>44540</v>
      </c>
      <c r="AJ39">
        <f t="shared" si="37"/>
        <v>58347.4</v>
      </c>
      <c r="AK39">
        <f t="shared" si="121"/>
        <v>0.42264951847680032</v>
      </c>
      <c r="AL39">
        <f t="shared" si="38"/>
        <v>40.567501634999999</v>
      </c>
      <c r="AM39">
        <f t="shared" si="39"/>
        <v>1.0418426115552441E-2</v>
      </c>
      <c r="AN39">
        <v>52.84</v>
      </c>
      <c r="AO39">
        <f t="shared" si="40"/>
        <v>52840</v>
      </c>
      <c r="AP39">
        <f t="shared" si="41"/>
        <v>67635.199999999997</v>
      </c>
      <c r="AQ39">
        <f t="shared" si="122"/>
        <v>0.48199825402198504</v>
      </c>
      <c r="AR39">
        <f t="shared" si="42"/>
        <v>51.759606732800002</v>
      </c>
      <c r="AS39">
        <f t="shared" si="43"/>
        <v>9.3122472222445102E-3</v>
      </c>
      <c r="AT39" s="1">
        <v>7427</v>
      </c>
      <c r="AU39" s="1">
        <f t="shared" si="44"/>
        <v>5.0869863013698627E-2</v>
      </c>
      <c r="AV39" s="1">
        <f t="shared" si="45"/>
        <v>6.043856718988265E-2</v>
      </c>
      <c r="AW39" s="1">
        <v>65240</v>
      </c>
      <c r="AX39" s="1">
        <f t="shared" si="46"/>
        <v>79592.800000000003</v>
      </c>
      <c r="AY39" s="1">
        <f t="shared" si="123"/>
        <v>0.54515616438356163</v>
      </c>
      <c r="AZ39" s="1">
        <f t="shared" si="47"/>
        <v>1.035859261424163E-2</v>
      </c>
      <c r="BA39" s="1">
        <f t="shared" si="48"/>
        <v>60.4858519474</v>
      </c>
      <c r="BB39" s="1">
        <v>7751</v>
      </c>
      <c r="BC39" s="1">
        <f t="shared" si="49"/>
        <v>9456.2199999999993</v>
      </c>
      <c r="BD39" s="1">
        <f t="shared" si="50"/>
        <v>1.2732220277366366</v>
      </c>
      <c r="BE39" s="1">
        <f t="shared" si="51"/>
        <v>0.11880748007357449</v>
      </c>
      <c r="BF39" s="1">
        <f t="shared" si="52"/>
        <v>9.0129533904497686E-3</v>
      </c>
      <c r="BG39" s="1">
        <v>3290</v>
      </c>
      <c r="BH39" s="1">
        <f t="shared" si="53"/>
        <v>2.4434624382635821E-2</v>
      </c>
      <c r="BI39" s="1">
        <v>86719.432000000001</v>
      </c>
      <c r="BJ39" s="1">
        <f t="shared" si="124"/>
        <v>0.64405980170076871</v>
      </c>
      <c r="BK39" s="1">
        <v>101.2013381</v>
      </c>
      <c r="BL39" s="1">
        <v>5508.2669999999998</v>
      </c>
      <c r="BM39">
        <f t="shared" si="125"/>
        <v>1.6742452887537993</v>
      </c>
      <c r="BN39">
        <f t="shared" si="126"/>
        <v>6.351825505499159E-2</v>
      </c>
      <c r="BO39">
        <f t="shared" si="54"/>
        <v>6.3641431407196851E-3</v>
      </c>
      <c r="BP39">
        <v>49352</v>
      </c>
      <c r="BQ39">
        <f t="shared" si="55"/>
        <v>64651.12</v>
      </c>
      <c r="BR39">
        <f t="shared" si="127"/>
        <v>0.46831160834905816</v>
      </c>
      <c r="BS39">
        <f t="shared" si="56"/>
        <v>59.525235619600004</v>
      </c>
      <c r="BT39">
        <f t="shared" si="57"/>
        <v>7.8674465287602528E-3</v>
      </c>
      <c r="BU39">
        <v>51.54</v>
      </c>
      <c r="BV39">
        <f t="shared" si="128"/>
        <v>51540</v>
      </c>
      <c r="BW39">
        <f t="shared" si="58"/>
        <v>65971.199999999997</v>
      </c>
      <c r="BX39">
        <f t="shared" si="129"/>
        <v>0.47013985640221628</v>
      </c>
      <c r="BY39">
        <f t="shared" si="59"/>
        <v>76.247206297600002</v>
      </c>
      <c r="BZ39">
        <f t="shared" si="60"/>
        <v>6.165994522700495E-3</v>
      </c>
      <c r="CA39" s="1">
        <v>3064</v>
      </c>
      <c r="CB39" s="1">
        <f t="shared" si="61"/>
        <v>2.0986301369863014E-2</v>
      </c>
      <c r="CC39" s="1">
        <f t="shared" si="62"/>
        <v>-0.1411244535120956</v>
      </c>
      <c r="CD39" s="1">
        <v>69482</v>
      </c>
      <c r="CE39" s="1">
        <f t="shared" si="63"/>
        <v>84768.04</v>
      </c>
      <c r="CF39">
        <f t="shared" si="130"/>
        <v>0.5806030136986301</v>
      </c>
      <c r="CG39">
        <f t="shared" si="64"/>
        <v>-9.8526235971517342E-2</v>
      </c>
      <c r="CH39">
        <f t="shared" si="65"/>
        <v>90.917938902799989</v>
      </c>
      <c r="CI39" s="1">
        <v>4585</v>
      </c>
      <c r="CJ39" s="1">
        <f t="shared" si="66"/>
        <v>5593.7</v>
      </c>
      <c r="CK39">
        <f t="shared" si="67"/>
        <v>1.8256201044386422</v>
      </c>
      <c r="CL39">
        <f t="shared" si="68"/>
        <v>6.5988313520048358E-2</v>
      </c>
      <c r="CM39">
        <f t="shared" si="69"/>
        <v>6.3860116133885357E-3</v>
      </c>
      <c r="CN39" s="1">
        <v>9648</v>
      </c>
      <c r="CO39" s="1">
        <f t="shared" si="70"/>
        <v>7.1655093022392216E-2</v>
      </c>
      <c r="CP39" s="1">
        <v>57628797</v>
      </c>
      <c r="CQ39" s="1">
        <f t="shared" si="131"/>
        <v>428.0054736529392</v>
      </c>
      <c r="CR39" s="1">
        <v>108123.0123</v>
      </c>
      <c r="CS39" s="1">
        <v>10612524</v>
      </c>
      <c r="CT39">
        <f t="shared" si="71"/>
        <v>1099.971393034826</v>
      </c>
      <c r="CU39">
        <f t="shared" si="72"/>
        <v>0.18415314135396579</v>
      </c>
      <c r="CV39">
        <f t="shared" si="73"/>
        <v>3.95850489686125E-3</v>
      </c>
      <c r="CW39" s="1">
        <v>9260</v>
      </c>
      <c r="CX39" s="1">
        <f t="shared" si="74"/>
        <v>6.3424657534246573E-2</v>
      </c>
      <c r="CY39" s="1">
        <f t="shared" si="75"/>
        <v>-0.11486183523024152</v>
      </c>
      <c r="CZ39" s="1">
        <v>48531188</v>
      </c>
      <c r="DA39" s="1">
        <f t="shared" si="132"/>
        <v>59208049.359999999</v>
      </c>
      <c r="DB39" s="1">
        <f t="shared" si="133"/>
        <v>405.53458465753425</v>
      </c>
      <c r="DC39" s="1">
        <f t="shared" si="76"/>
        <v>-5.2501405656382158E-2</v>
      </c>
      <c r="DD39" s="1">
        <f t="shared" si="77"/>
        <v>93954.54819500001</v>
      </c>
      <c r="DE39" s="1">
        <v>8806475</v>
      </c>
      <c r="DF39" s="1">
        <f t="shared" si="78"/>
        <v>10743899.5</v>
      </c>
      <c r="DG39">
        <f t="shared" si="79"/>
        <v>1160.2483261339094</v>
      </c>
      <c r="DH39">
        <f t="shared" si="80"/>
        <v>0.18146011591556341</v>
      </c>
      <c r="DI39">
        <f t="shared" si="81"/>
        <v>4.3162847616047143E-3</v>
      </c>
      <c r="DJ39" s="1">
        <v>1543619</v>
      </c>
      <c r="DK39">
        <f t="shared" si="134"/>
        <v>11.464361840395114</v>
      </c>
      <c r="DL39">
        <v>1889.3069949999999</v>
      </c>
      <c r="DM39" s="1">
        <v>641577</v>
      </c>
      <c r="DN39" s="3">
        <f t="shared" si="82"/>
        <v>6.0680248740597681E-3</v>
      </c>
      <c r="DO39" s="1">
        <v>1668795</v>
      </c>
      <c r="DP39" s="1">
        <f t="shared" si="83"/>
        <v>2035929.9</v>
      </c>
      <c r="DQ39" s="3">
        <f t="shared" si="135"/>
        <v>13.944725342465754</v>
      </c>
      <c r="DR39" s="3">
        <f t="shared" si="84"/>
        <v>1905.8896083399998</v>
      </c>
      <c r="DS39" s="3">
        <f t="shared" si="85"/>
        <v>649570.34223889117</v>
      </c>
      <c r="DT39" s="3">
        <f t="shared" si="86"/>
        <v>7.3166490238704817E-3</v>
      </c>
      <c r="DU39" s="3">
        <f t="shared" si="87"/>
        <v>1.0124588977455413</v>
      </c>
      <c r="DV39" s="3">
        <f t="shared" si="88"/>
        <v>377.71870097958003</v>
      </c>
      <c r="DW39" s="3">
        <f t="shared" si="89"/>
        <v>0.12187157323916754</v>
      </c>
      <c r="DX39" s="3">
        <f t="shared" si="90"/>
        <v>59331785.431999996</v>
      </c>
      <c r="DY39" s="3">
        <f t="shared" si="91"/>
        <v>440.65346230457868</v>
      </c>
      <c r="DZ39" s="3">
        <f t="shared" si="92"/>
        <v>59172416</v>
      </c>
      <c r="EA39" s="3">
        <f t="shared" si="93"/>
        <v>122998.52</v>
      </c>
      <c r="EB39" s="3">
        <f t="shared" si="94"/>
        <v>0.89096112682585848</v>
      </c>
      <c r="EC39" s="3">
        <f t="shared" si="95"/>
        <v>133606.39999999999</v>
      </c>
      <c r="ED39" s="3">
        <f t="shared" si="96"/>
        <v>0.95213811042420138</v>
      </c>
      <c r="EE39" s="9">
        <f t="shared" si="97"/>
        <v>61408340.100000001</v>
      </c>
      <c r="EF39" s="13">
        <f t="shared" si="98"/>
        <v>420.6050691780822</v>
      </c>
      <c r="EG39" s="14">
        <f t="shared" si="99"/>
        <v>-4.5496960404316701E-2</v>
      </c>
      <c r="EH39" s="9">
        <f t="shared" si="100"/>
        <v>61243979.259999998</v>
      </c>
      <c r="EI39" s="10">
        <v>145513</v>
      </c>
      <c r="EJ39" s="10">
        <f t="shared" si="136"/>
        <v>190622.03</v>
      </c>
      <c r="EK39" s="10">
        <f t="shared" si="101"/>
        <v>1.3808037580178412</v>
      </c>
      <c r="EL39" s="10">
        <v>127000</v>
      </c>
      <c r="EM39" s="10">
        <f t="shared" si="137"/>
        <v>162560</v>
      </c>
      <c r="EN39" s="10">
        <f t="shared" si="102"/>
        <v>1.1584742290081775</v>
      </c>
      <c r="EO39" s="11">
        <v>703687</v>
      </c>
      <c r="EP39" s="11">
        <f t="shared" si="138"/>
        <v>858498.14</v>
      </c>
      <c r="EQ39" s="11">
        <f t="shared" si="103"/>
        <v>5.8801242465753427</v>
      </c>
      <c r="ER39" s="10">
        <f t="shared" si="104"/>
        <v>8.4194022336013603</v>
      </c>
      <c r="ES39" s="10">
        <f t="shared" si="115"/>
        <v>5.2811155265748031</v>
      </c>
      <c r="ET39" s="12">
        <v>32150</v>
      </c>
      <c r="EU39" s="12">
        <f t="shared" si="139"/>
        <v>42116.5</v>
      </c>
      <c r="EV39" s="12">
        <f t="shared" si="105"/>
        <v>0.30507817734685971</v>
      </c>
      <c r="EW39" s="10">
        <v>4000</v>
      </c>
      <c r="EX39" s="10">
        <f t="shared" si="140"/>
        <v>5120</v>
      </c>
      <c r="EY39" s="10">
        <f t="shared" si="106"/>
        <v>3.6487377291596144E-2</v>
      </c>
      <c r="EZ39" s="3">
        <f t="shared" si="107"/>
        <v>21124.462106299212</v>
      </c>
      <c r="FA39" s="3">
        <f t="shared" si="108"/>
        <v>0.14468809661848775</v>
      </c>
      <c r="FB39" s="3">
        <f t="shared" si="109"/>
        <v>0.48625365125694359</v>
      </c>
      <c r="FC39" s="1">
        <f t="shared" si="110"/>
        <v>4.8923000000000005</v>
      </c>
      <c r="FD39">
        <f>49/10</f>
        <v>4.9000000000000004</v>
      </c>
      <c r="FE39">
        <f>5.2</f>
        <v>5.2</v>
      </c>
      <c r="FF39" s="7">
        <f t="shared" si="111"/>
        <v>5.9499999999999993</v>
      </c>
      <c r="FG39" s="1">
        <f t="shared" si="112"/>
        <v>0.14999999999999991</v>
      </c>
      <c r="FH39">
        <v>2.63E-2</v>
      </c>
      <c r="FI39">
        <v>3.4000000000000002E-2</v>
      </c>
      <c r="FJ39">
        <v>4.41E-2</v>
      </c>
      <c r="FK39">
        <v>4.0899999999999999E-2</v>
      </c>
      <c r="FL39" s="1">
        <f t="shared" si="113"/>
        <v>2.5666666666666672E-3</v>
      </c>
    </row>
    <row r="40" spans="1:168">
      <c r="A40" t="s">
        <v>116</v>
      </c>
      <c r="B40" s="1" t="s">
        <v>41</v>
      </c>
      <c r="C40" s="1">
        <v>211641</v>
      </c>
      <c r="D40" s="6">
        <f t="shared" si="117"/>
        <v>216531.9</v>
      </c>
      <c r="E40" s="6">
        <f t="shared" si="118"/>
        <v>219792.5</v>
      </c>
      <c r="F40" s="1">
        <v>227944</v>
      </c>
      <c r="G40" s="1">
        <f t="shared" si="119"/>
        <v>1630.3</v>
      </c>
      <c r="H40" s="1">
        <v>1.31</v>
      </c>
      <c r="I40" s="1">
        <v>1.28</v>
      </c>
      <c r="J40" s="1">
        <v>1.22</v>
      </c>
      <c r="K40">
        <v>82925</v>
      </c>
      <c r="L40">
        <f t="shared" si="24"/>
        <v>0.39181916547360862</v>
      </c>
      <c r="M40" s="1">
        <v>78270</v>
      </c>
      <c r="N40">
        <f t="shared" si="25"/>
        <v>0.34337381111150106</v>
      </c>
      <c r="O40">
        <f t="shared" si="26"/>
        <v>-0.1236421253247007</v>
      </c>
      <c r="P40">
        <f t="shared" si="27"/>
        <v>0.14433689405706382</v>
      </c>
      <c r="Q40">
        <f t="shared" si="28"/>
        <v>3.7052402230744633E-3</v>
      </c>
      <c r="R40">
        <f t="shared" si="29"/>
        <v>1277.1541471501334</v>
      </c>
      <c r="S40">
        <f t="shared" si="30"/>
        <v>0.35806252993090243</v>
      </c>
      <c r="T40">
        <f t="shared" si="31"/>
        <v>1722.2981453262837</v>
      </c>
      <c r="U40">
        <v>92297.113769999996</v>
      </c>
      <c r="V40">
        <f t="shared" si="32"/>
        <v>1.8660368401315002E-2</v>
      </c>
      <c r="W40">
        <f t="shared" si="33"/>
        <v>0.86307303548239922</v>
      </c>
      <c r="X40">
        <v>79429.064259999999</v>
      </c>
      <c r="Y40">
        <f t="shared" si="34"/>
        <v>1.0865960004983184E-5</v>
      </c>
      <c r="Z40" s="1">
        <v>7767</v>
      </c>
      <c r="AA40" s="1">
        <f t="shared" si="35"/>
        <v>3.6698938296454847E-2</v>
      </c>
      <c r="AB40" s="1">
        <v>106038</v>
      </c>
      <c r="AC40" s="1">
        <f t="shared" si="120"/>
        <v>0.50102768367187833</v>
      </c>
      <c r="AD40" s="1">
        <v>61.278341249999997</v>
      </c>
      <c r="AE40" s="1">
        <v>11933</v>
      </c>
      <c r="AF40">
        <f t="shared" si="114"/>
        <v>1.5363718295352131</v>
      </c>
      <c r="AG40">
        <f t="shared" si="36"/>
        <v>0.11253512891604896</v>
      </c>
      <c r="AH40">
        <f t="shared" si="116"/>
        <v>8.1762605424943405E-3</v>
      </c>
      <c r="AI40">
        <v>42523</v>
      </c>
      <c r="AJ40">
        <f t="shared" si="37"/>
        <v>55705.130000000005</v>
      </c>
      <c r="AK40">
        <f t="shared" si="121"/>
        <v>0.25726061610321621</v>
      </c>
      <c r="AL40">
        <f t="shared" si="38"/>
        <v>40.567501634999999</v>
      </c>
      <c r="AM40">
        <f t="shared" si="39"/>
        <v>6.3415444810449497E-3</v>
      </c>
      <c r="AN40">
        <v>66.709999999999994</v>
      </c>
      <c r="AO40">
        <f t="shared" si="40"/>
        <v>66710</v>
      </c>
      <c r="AP40">
        <f t="shared" si="41"/>
        <v>85388.800000000003</v>
      </c>
      <c r="AQ40">
        <f t="shared" si="122"/>
        <v>0.38849733271153475</v>
      </c>
      <c r="AR40">
        <f t="shared" si="42"/>
        <v>51.759606732800002</v>
      </c>
      <c r="AS40">
        <f t="shared" si="43"/>
        <v>7.50580147791858E-3</v>
      </c>
      <c r="AT40" s="1">
        <v>8676</v>
      </c>
      <c r="AU40" s="1">
        <f t="shared" si="44"/>
        <v>3.8061980135471872E-2</v>
      </c>
      <c r="AV40" s="1">
        <f t="shared" si="45"/>
        <v>3.7141179071894188E-2</v>
      </c>
      <c r="AW40" s="1">
        <v>85265</v>
      </c>
      <c r="AX40" s="1">
        <f t="shared" si="46"/>
        <v>104023.3</v>
      </c>
      <c r="AY40" s="1">
        <f t="shared" si="123"/>
        <v>0.45635463096199069</v>
      </c>
      <c r="AZ40" s="1">
        <f t="shared" si="47"/>
        <v>-8.916284302394735E-2</v>
      </c>
      <c r="BA40" s="1">
        <f t="shared" si="48"/>
        <v>60.4858519474</v>
      </c>
      <c r="BB40" s="1">
        <v>9269</v>
      </c>
      <c r="BC40" s="1">
        <f t="shared" si="49"/>
        <v>11308.18</v>
      </c>
      <c r="BD40" s="1">
        <f t="shared" si="50"/>
        <v>1.3033863531581373</v>
      </c>
      <c r="BE40" s="1">
        <f t="shared" si="51"/>
        <v>0.10870814519439395</v>
      </c>
      <c r="BF40" s="1">
        <f t="shared" si="52"/>
        <v>7.5448161226008359E-3</v>
      </c>
      <c r="BG40" s="1">
        <v>1462</v>
      </c>
      <c r="BH40" s="1">
        <f t="shared" si="53"/>
        <v>6.907924267982102E-3</v>
      </c>
      <c r="BI40" s="1">
        <v>41323.775000000001</v>
      </c>
      <c r="BJ40" s="1">
        <f t="shared" si="124"/>
        <v>0.19525410955344191</v>
      </c>
      <c r="BK40" s="1">
        <v>101.2013381</v>
      </c>
      <c r="BL40" s="1">
        <v>2861.4870000000001</v>
      </c>
      <c r="BM40">
        <f t="shared" si="125"/>
        <v>1.9572414500683994</v>
      </c>
      <c r="BN40">
        <f t="shared" si="126"/>
        <v>6.9245537224031442E-2</v>
      </c>
      <c r="BO40">
        <f t="shared" si="54"/>
        <v>1.929362923645393E-3</v>
      </c>
      <c r="BP40">
        <v>23422</v>
      </c>
      <c r="BQ40">
        <f t="shared" si="55"/>
        <v>30682.82</v>
      </c>
      <c r="BR40">
        <f t="shared" si="127"/>
        <v>0.1417011535020937</v>
      </c>
      <c r="BS40">
        <f t="shared" si="56"/>
        <v>59.525235619600004</v>
      </c>
      <c r="BT40">
        <f t="shared" si="57"/>
        <v>2.3805223453065251E-3</v>
      </c>
      <c r="BU40">
        <v>65.81</v>
      </c>
      <c r="BV40">
        <f t="shared" si="128"/>
        <v>65810</v>
      </c>
      <c r="BW40">
        <f t="shared" si="58"/>
        <v>84236.800000000003</v>
      </c>
      <c r="BX40">
        <f t="shared" si="129"/>
        <v>0.38325602556957133</v>
      </c>
      <c r="BY40">
        <f t="shared" si="59"/>
        <v>76.247206297600002</v>
      </c>
      <c r="BZ40">
        <f t="shared" si="60"/>
        <v>5.0264926963184339E-3</v>
      </c>
      <c r="CA40" s="1">
        <v>2090</v>
      </c>
      <c r="CB40" s="1">
        <f t="shared" si="61"/>
        <v>9.1689186817814905E-3</v>
      </c>
      <c r="CC40" s="1">
        <f t="shared" si="62"/>
        <v>0.32730445877627656</v>
      </c>
      <c r="CD40" s="1">
        <v>75991</v>
      </c>
      <c r="CE40" s="1">
        <f t="shared" si="63"/>
        <v>92709.02</v>
      </c>
      <c r="CF40">
        <f t="shared" si="130"/>
        <v>0.40671840452040853</v>
      </c>
      <c r="CG40">
        <f t="shared" si="64"/>
        <v>1.0830209691903459</v>
      </c>
      <c r="CH40">
        <f t="shared" si="65"/>
        <v>90.917938902799989</v>
      </c>
      <c r="CI40" s="1">
        <v>3601</v>
      </c>
      <c r="CJ40" s="1">
        <f t="shared" si="66"/>
        <v>4393.22</v>
      </c>
      <c r="CK40">
        <f t="shared" si="67"/>
        <v>2.1020191387559808</v>
      </c>
      <c r="CL40">
        <f t="shared" si="68"/>
        <v>4.7387190588359149E-2</v>
      </c>
      <c r="CM40">
        <f t="shared" si="69"/>
        <v>4.4734670564323901E-3</v>
      </c>
      <c r="CN40" s="1">
        <v>32001</v>
      </c>
      <c r="CO40" s="1">
        <f t="shared" si="70"/>
        <v>0.15120416176449741</v>
      </c>
      <c r="CP40" s="1">
        <v>364361540</v>
      </c>
      <c r="CQ40" s="1">
        <f t="shared" si="131"/>
        <v>1721.6018635330583</v>
      </c>
      <c r="CR40" s="1">
        <v>108123.0123</v>
      </c>
      <c r="CS40" s="1">
        <v>52642271</v>
      </c>
      <c r="CT40">
        <f t="shared" si="71"/>
        <v>1645.019561888691</v>
      </c>
      <c r="CU40">
        <f t="shared" si="72"/>
        <v>0.14447812192252782</v>
      </c>
      <c r="CV40">
        <f t="shared" si="73"/>
        <v>1.5922622084892268E-2</v>
      </c>
      <c r="CW40" s="1">
        <v>33085</v>
      </c>
      <c r="CX40" s="1">
        <f t="shared" si="74"/>
        <v>0.14514529884533042</v>
      </c>
      <c r="CY40" s="1">
        <f t="shared" si="75"/>
        <v>-4.0070741760426902E-2</v>
      </c>
      <c r="DA40" s="1">
        <f t="shared" si="132"/>
        <v>0</v>
      </c>
      <c r="DB40" s="1">
        <f t="shared" si="133"/>
        <v>0</v>
      </c>
      <c r="DC40" s="1">
        <f t="shared" si="76"/>
        <v>-1</v>
      </c>
      <c r="DD40" s="1">
        <f t="shared" si="77"/>
        <v>93954.54819500001</v>
      </c>
      <c r="DF40" s="1">
        <f t="shared" si="78"/>
        <v>0</v>
      </c>
      <c r="DG40">
        <f t="shared" si="79"/>
        <v>0</v>
      </c>
      <c r="DI40">
        <f t="shared" si="81"/>
        <v>0</v>
      </c>
      <c r="DJ40" s="1">
        <v>3308591</v>
      </c>
      <c r="DK40">
        <f t="shared" si="134"/>
        <v>15.633034241947449</v>
      </c>
      <c r="DL40">
        <v>1889.3069949999999</v>
      </c>
      <c r="DM40" s="1">
        <v>432569</v>
      </c>
      <c r="DN40" s="3">
        <f t="shared" si="82"/>
        <v>8.2744806870031461E-3</v>
      </c>
      <c r="DO40" s="1">
        <v>3312203</v>
      </c>
      <c r="DP40" s="1">
        <f t="shared" si="83"/>
        <v>4040887.6599999997</v>
      </c>
      <c r="DQ40" s="3">
        <f t="shared" si="135"/>
        <v>17.727545625241287</v>
      </c>
      <c r="DR40" s="3">
        <f t="shared" si="84"/>
        <v>1905.8896083399998</v>
      </c>
      <c r="DS40" s="3">
        <f t="shared" si="85"/>
        <v>128.98437909109836</v>
      </c>
      <c r="DT40" s="3">
        <f t="shared" si="86"/>
        <v>9.3014545793560967E-3</v>
      </c>
      <c r="DU40" s="3">
        <f t="shared" si="87"/>
        <v>2.9818220697992314E-4</v>
      </c>
      <c r="DV40" s="3">
        <f t="shared" si="88"/>
        <v>275.31976344336812</v>
      </c>
      <c r="DW40" s="3">
        <f t="shared" si="89"/>
        <v>8.0392353974226879E-2</v>
      </c>
      <c r="DX40" s="3">
        <f t="shared" si="90"/>
        <v>367817492.77499998</v>
      </c>
      <c r="DY40" s="3">
        <f t="shared" si="91"/>
        <v>1737.9311795682311</v>
      </c>
      <c r="DZ40" s="3">
        <f t="shared" si="92"/>
        <v>367670131</v>
      </c>
      <c r="EA40" s="3">
        <f t="shared" si="93"/>
        <v>86387.950000000012</v>
      </c>
      <c r="EB40" s="3">
        <f t="shared" si="94"/>
        <v>0.39896176960530993</v>
      </c>
      <c r="EC40" s="3">
        <f t="shared" si="95"/>
        <v>169625.60000000001</v>
      </c>
      <c r="ED40" s="3">
        <f t="shared" si="96"/>
        <v>0.77175335828110603</v>
      </c>
      <c r="EE40" s="9">
        <f t="shared" si="97"/>
        <v>4237619.9799999995</v>
      </c>
      <c r="EF40" s="13">
        <f t="shared" si="98"/>
        <v>18.590618660723685</v>
      </c>
      <c r="EG40" s="14">
        <f t="shared" si="99"/>
        <v>-0.98930301793345898</v>
      </c>
      <c r="EH40" s="9">
        <f t="shared" si="100"/>
        <v>4040887.6599999997</v>
      </c>
      <c r="EI40" s="10">
        <v>259286</v>
      </c>
      <c r="EJ40" s="10">
        <f t="shared" si="136"/>
        <v>339664.66000000003</v>
      </c>
      <c r="EK40" s="10">
        <f t="shared" si="101"/>
        <v>1.5686587518975266</v>
      </c>
      <c r="EL40" s="10">
        <v>304000</v>
      </c>
      <c r="EM40" s="10">
        <f t="shared" si="137"/>
        <v>389120</v>
      </c>
      <c r="EN40" s="10">
        <f t="shared" si="102"/>
        <v>1.7703970790632073</v>
      </c>
      <c r="EO40" s="11">
        <v>2171072</v>
      </c>
      <c r="EP40" s="11">
        <f t="shared" si="138"/>
        <v>2648707.84</v>
      </c>
      <c r="EQ40" s="11">
        <f t="shared" si="103"/>
        <v>11.619993682658897</v>
      </c>
      <c r="ER40" s="10">
        <f t="shared" si="104"/>
        <v>14.959049513619632</v>
      </c>
      <c r="ES40" s="10">
        <f t="shared" si="115"/>
        <v>6.8069177631578945</v>
      </c>
      <c r="ET40" s="12">
        <v>527359</v>
      </c>
      <c r="EU40" s="12">
        <f t="shared" si="139"/>
        <v>690840.29</v>
      </c>
      <c r="EV40" s="12">
        <f t="shared" si="105"/>
        <v>3.1904781235466926</v>
      </c>
      <c r="EW40" s="10">
        <v>103000</v>
      </c>
      <c r="EX40" s="10">
        <f t="shared" si="140"/>
        <v>131840</v>
      </c>
      <c r="EY40" s="10">
        <f t="shared" si="106"/>
        <v>0.59983848402470508</v>
      </c>
      <c r="EZ40" s="3">
        <f t="shared" si="107"/>
        <v>701112.52960526315</v>
      </c>
      <c r="FA40" s="3">
        <f t="shared" si="108"/>
        <v>3.0758104166166391</v>
      </c>
      <c r="FB40" s="3">
        <f t="shared" si="109"/>
        <v>6.866127024188037</v>
      </c>
      <c r="FC40" s="1">
        <f t="shared" si="110"/>
        <v>1.7923</v>
      </c>
      <c r="FD40">
        <f>18/10</f>
        <v>1.8</v>
      </c>
      <c r="FE40">
        <f>3.6</f>
        <v>3.6</v>
      </c>
      <c r="FF40" s="7">
        <f t="shared" si="111"/>
        <v>8.1</v>
      </c>
      <c r="FG40" s="1">
        <f t="shared" si="112"/>
        <v>0.9</v>
      </c>
      <c r="FH40">
        <v>2.63E-2</v>
      </c>
      <c r="FI40">
        <v>3.4000000000000002E-2</v>
      </c>
      <c r="FJ40">
        <v>4.41E-2</v>
      </c>
      <c r="FK40">
        <v>4.0899999999999999E-2</v>
      </c>
      <c r="FL40" s="1">
        <f t="shared" si="113"/>
        <v>2.5666666666666672E-3</v>
      </c>
    </row>
    <row r="41" spans="1:168">
      <c r="A41" t="s">
        <v>116</v>
      </c>
      <c r="B41" s="1" t="s">
        <v>42</v>
      </c>
      <c r="C41" s="1">
        <v>240511</v>
      </c>
      <c r="D41" s="6">
        <f t="shared" si="117"/>
        <v>242259.1</v>
      </c>
      <c r="E41" s="6">
        <f t="shared" si="118"/>
        <v>243424.5</v>
      </c>
      <c r="F41" s="1">
        <v>246338</v>
      </c>
      <c r="G41" s="1">
        <f t="shared" si="119"/>
        <v>582.70000000000005</v>
      </c>
      <c r="H41" s="1">
        <v>1.31</v>
      </c>
      <c r="I41" s="1">
        <v>1.28</v>
      </c>
      <c r="J41" s="1">
        <v>1.22</v>
      </c>
      <c r="K41">
        <v>95306</v>
      </c>
      <c r="L41">
        <f t="shared" si="24"/>
        <v>0.39626461991343431</v>
      </c>
      <c r="M41" s="1">
        <v>85666</v>
      </c>
      <c r="N41">
        <f t="shared" si="25"/>
        <v>0.3477579585772394</v>
      </c>
      <c r="O41">
        <f t="shared" si="26"/>
        <v>-0.12240977089196456</v>
      </c>
      <c r="P41">
        <f t="shared" si="27"/>
        <v>0.24827777321491348</v>
      </c>
      <c r="Q41">
        <f t="shared" si="28"/>
        <v>0.20742305536565314</v>
      </c>
      <c r="R41">
        <f t="shared" si="29"/>
        <v>981.30991168478261</v>
      </c>
      <c r="S41">
        <f t="shared" si="30"/>
        <v>926.71356394021188</v>
      </c>
      <c r="T41">
        <f t="shared" si="31"/>
        <v>741.80194102140854</v>
      </c>
      <c r="U41">
        <v>92297.113769999996</v>
      </c>
      <c r="V41">
        <f t="shared" si="32"/>
        <v>8.0371087536923805E-3</v>
      </c>
      <c r="W41">
        <f t="shared" si="33"/>
        <v>675.14189252165727</v>
      </c>
      <c r="X41">
        <v>79429.064259999999</v>
      </c>
      <c r="Y41">
        <f t="shared" si="34"/>
        <v>8.4999351158371213E-3</v>
      </c>
      <c r="Z41" s="1">
        <v>10541</v>
      </c>
      <c r="AA41" s="1">
        <f t="shared" si="35"/>
        <v>4.3827517244533515E-2</v>
      </c>
      <c r="AB41" s="1">
        <v>128376</v>
      </c>
      <c r="AC41" s="1">
        <f t="shared" si="120"/>
        <v>0.5337635284872625</v>
      </c>
      <c r="AD41" s="1">
        <v>61.278341249999997</v>
      </c>
      <c r="AE41" s="1">
        <v>15101</v>
      </c>
      <c r="AF41">
        <f t="shared" si="114"/>
        <v>1.4325965278436581</v>
      </c>
      <c r="AG41">
        <f t="shared" si="36"/>
        <v>0.11763102137471178</v>
      </c>
      <c r="AH41">
        <f t="shared" si="116"/>
        <v>8.7104761258083585E-3</v>
      </c>
      <c r="AI41">
        <v>51942</v>
      </c>
      <c r="AJ41">
        <f t="shared" si="37"/>
        <v>68044.02</v>
      </c>
      <c r="AK41">
        <f t="shared" si="121"/>
        <v>0.28087291664172781</v>
      </c>
      <c r="AL41">
        <f t="shared" si="38"/>
        <v>40.567501634999999</v>
      </c>
      <c r="AM41">
        <f t="shared" si="39"/>
        <v>6.923594141163527E-3</v>
      </c>
      <c r="AN41">
        <v>69.150000000000006</v>
      </c>
      <c r="AO41">
        <f t="shared" si="40"/>
        <v>69150</v>
      </c>
      <c r="AP41">
        <f t="shared" si="41"/>
        <v>88512</v>
      </c>
      <c r="AQ41">
        <f t="shared" si="122"/>
        <v>0.36361171533678821</v>
      </c>
      <c r="AR41">
        <f t="shared" si="42"/>
        <v>51.759606732800002</v>
      </c>
      <c r="AS41">
        <f t="shared" si="43"/>
        <v>7.0250092357515516E-3</v>
      </c>
      <c r="AT41" s="1">
        <v>10935</v>
      </c>
      <c r="AU41" s="1">
        <f t="shared" si="44"/>
        <v>4.4390228060632142E-2</v>
      </c>
      <c r="AV41" s="1">
        <f t="shared" si="45"/>
        <v>1.283921270189706E-2</v>
      </c>
      <c r="AW41" s="1">
        <v>94469</v>
      </c>
      <c r="AX41" s="1">
        <f t="shared" si="46"/>
        <v>115252.18</v>
      </c>
      <c r="AY41" s="1">
        <f t="shared" si="123"/>
        <v>0.46786196201966401</v>
      </c>
      <c r="AZ41" s="1">
        <f t="shared" si="47"/>
        <v>-0.12346584760927728</v>
      </c>
      <c r="BA41" s="1">
        <f t="shared" si="48"/>
        <v>60.4858519474</v>
      </c>
      <c r="BB41" s="1">
        <v>10511</v>
      </c>
      <c r="BC41" s="1">
        <f t="shared" si="49"/>
        <v>12823.42</v>
      </c>
      <c r="BD41" s="1">
        <f t="shared" si="50"/>
        <v>1.172695016003658</v>
      </c>
      <c r="BE41" s="1">
        <f t="shared" si="51"/>
        <v>0.11126401253321196</v>
      </c>
      <c r="BF41" s="1">
        <f t="shared" si="52"/>
        <v>7.7350644317042668E-3</v>
      </c>
      <c r="BG41" s="1">
        <v>4112</v>
      </c>
      <c r="BH41" s="1">
        <f t="shared" si="53"/>
        <v>1.7096931117495665E-2</v>
      </c>
      <c r="BI41" s="1">
        <v>157092.63699999999</v>
      </c>
      <c r="BJ41" s="1">
        <f t="shared" si="124"/>
        <v>0.65316196348607747</v>
      </c>
      <c r="BK41" s="1">
        <v>101.2013381</v>
      </c>
      <c r="BL41" s="1">
        <v>7877.89</v>
      </c>
      <c r="BM41">
        <f t="shared" si="125"/>
        <v>1.915829280155642</v>
      </c>
      <c r="BN41">
        <f t="shared" si="126"/>
        <v>5.0148053724503976E-2</v>
      </c>
      <c r="BO41">
        <f t="shared" si="54"/>
        <v>6.4540842616198323E-3</v>
      </c>
      <c r="BP41">
        <v>56560</v>
      </c>
      <c r="BQ41">
        <f t="shared" si="55"/>
        <v>74093.600000000006</v>
      </c>
      <c r="BR41">
        <f t="shared" si="127"/>
        <v>0.3058444450590298</v>
      </c>
      <c r="BS41">
        <f t="shared" si="56"/>
        <v>59.525235619600004</v>
      </c>
      <c r="BT41">
        <f t="shared" si="57"/>
        <v>5.1380635771616119E-3</v>
      </c>
      <c r="BU41">
        <v>67.3</v>
      </c>
      <c r="BV41">
        <f t="shared" si="128"/>
        <v>67300</v>
      </c>
      <c r="BW41">
        <f t="shared" si="58"/>
        <v>86144</v>
      </c>
      <c r="BX41">
        <f t="shared" si="129"/>
        <v>0.35388385310435061</v>
      </c>
      <c r="BY41">
        <f t="shared" si="59"/>
        <v>76.247206297600002</v>
      </c>
      <c r="BZ41">
        <f t="shared" si="60"/>
        <v>4.6412697630272342E-3</v>
      </c>
      <c r="CA41" s="1">
        <v>3616</v>
      </c>
      <c r="CB41" s="1">
        <f t="shared" si="61"/>
        <v>1.4679018259464638E-2</v>
      </c>
      <c r="CC41" s="1">
        <f t="shared" si="62"/>
        <v>-0.14142379362789409</v>
      </c>
      <c r="CD41" s="1">
        <v>90678</v>
      </c>
      <c r="CE41" s="1">
        <f t="shared" si="63"/>
        <v>110627.16</v>
      </c>
      <c r="CF41">
        <f t="shared" si="130"/>
        <v>0.44908686438957857</v>
      </c>
      <c r="CG41">
        <f t="shared" si="64"/>
        <v>-0.31244179928559002</v>
      </c>
      <c r="CH41">
        <f t="shared" si="65"/>
        <v>90.917938902799989</v>
      </c>
      <c r="CI41" s="1">
        <v>5611</v>
      </c>
      <c r="CJ41" s="1">
        <f t="shared" si="66"/>
        <v>6845.42</v>
      </c>
      <c r="CK41">
        <f t="shared" si="67"/>
        <v>1.8930918141592921</v>
      </c>
      <c r="CL41">
        <f t="shared" si="68"/>
        <v>6.1878294624936589E-2</v>
      </c>
      <c r="CM41">
        <f t="shared" si="69"/>
        <v>4.9394747594277907E-3</v>
      </c>
      <c r="CN41" s="1">
        <v>30979</v>
      </c>
      <c r="CO41" s="1">
        <f t="shared" si="70"/>
        <v>0.12880491952551026</v>
      </c>
      <c r="CP41" s="1">
        <v>178126058</v>
      </c>
      <c r="CQ41" s="1">
        <f t="shared" si="131"/>
        <v>740.61501552943525</v>
      </c>
      <c r="CR41" s="1">
        <v>108123.0123</v>
      </c>
      <c r="CS41" s="1">
        <v>44756155</v>
      </c>
      <c r="CT41">
        <f t="shared" si="71"/>
        <v>1444.7256205816843</v>
      </c>
      <c r="CU41">
        <f t="shared" si="72"/>
        <v>0.25126113215844031</v>
      </c>
      <c r="CV41">
        <f t="shared" si="73"/>
        <v>6.849744562004172E-3</v>
      </c>
      <c r="CW41" s="1">
        <v>23985</v>
      </c>
      <c r="CX41" s="1">
        <f t="shared" si="74"/>
        <v>9.7366220396365971E-2</v>
      </c>
      <c r="CY41" s="1">
        <f t="shared" si="75"/>
        <v>-0.24407995630103049</v>
      </c>
      <c r="CZ41" s="1">
        <v>136137069</v>
      </c>
      <c r="DA41" s="1">
        <f t="shared" si="132"/>
        <v>166087224.18000001</v>
      </c>
      <c r="DB41" s="1">
        <f t="shared" si="133"/>
        <v>674.22494369524804</v>
      </c>
      <c r="DC41" s="1">
        <f t="shared" si="76"/>
        <v>-8.9641811794387766E-2</v>
      </c>
      <c r="DD41" s="1">
        <f t="shared" si="77"/>
        <v>93954.54819500001</v>
      </c>
      <c r="DE41" s="1">
        <v>29255873</v>
      </c>
      <c r="DF41" s="1">
        <f t="shared" si="78"/>
        <v>35692165.060000002</v>
      </c>
      <c r="DG41">
        <f t="shared" si="79"/>
        <v>1488.1036089222432</v>
      </c>
      <c r="DH41">
        <f t="shared" si="80"/>
        <v>0.21490012393318092</v>
      </c>
      <c r="DI41">
        <f t="shared" si="81"/>
        <v>7.1760756306965918E-3</v>
      </c>
      <c r="DJ41" s="1">
        <v>5266385</v>
      </c>
      <c r="DK41">
        <f t="shared" si="134"/>
        <v>21.896649217707299</v>
      </c>
      <c r="DL41">
        <v>1889.3069949999999</v>
      </c>
      <c r="DM41" s="1">
        <v>824009</v>
      </c>
      <c r="DN41" s="3">
        <f t="shared" si="82"/>
        <v>1.158977830265605E-2</v>
      </c>
      <c r="DO41" s="1">
        <v>4799970</v>
      </c>
      <c r="DP41" s="1">
        <f t="shared" si="83"/>
        <v>5855963.3999999994</v>
      </c>
      <c r="DQ41" s="3">
        <f t="shared" si="135"/>
        <v>23.772066834999062</v>
      </c>
      <c r="DR41" s="3">
        <f t="shared" si="84"/>
        <v>1905.8896083399998</v>
      </c>
      <c r="DS41" s="3">
        <f t="shared" si="85"/>
        <v>657155.91133120738</v>
      </c>
      <c r="DT41" s="3">
        <f t="shared" si="86"/>
        <v>1.2472950548119187E-2</v>
      </c>
      <c r="DU41" s="3">
        <f t="shared" si="87"/>
        <v>0.79751059919394984</v>
      </c>
      <c r="DV41" s="3">
        <f t="shared" si="88"/>
        <v>489.87390702368157</v>
      </c>
      <c r="DW41" s="3">
        <f t="shared" si="89"/>
        <v>0.13451377305816425</v>
      </c>
      <c r="DX41" s="3">
        <f t="shared" si="90"/>
        <v>183677911.63699999</v>
      </c>
      <c r="DY41" s="3">
        <f t="shared" si="91"/>
        <v>763.6985902391159</v>
      </c>
      <c r="DZ41" s="3">
        <f t="shared" si="92"/>
        <v>183392443</v>
      </c>
      <c r="EA41" s="3">
        <f t="shared" si="93"/>
        <v>142137.62</v>
      </c>
      <c r="EB41" s="3">
        <f t="shared" si="94"/>
        <v>0.5867173617007575</v>
      </c>
      <c r="EC41" s="3">
        <f t="shared" si="95"/>
        <v>174656</v>
      </c>
      <c r="ED41" s="3">
        <f t="shared" si="96"/>
        <v>0.71749556844113882</v>
      </c>
      <c r="EE41" s="9">
        <f t="shared" si="97"/>
        <v>172169066.92000002</v>
      </c>
      <c r="EF41" s="13">
        <f t="shared" si="98"/>
        <v>698.91395935665639</v>
      </c>
      <c r="EG41" s="14">
        <f t="shared" si="99"/>
        <v>-8.4830104062618844E-2</v>
      </c>
      <c r="EH41" s="9">
        <f t="shared" si="100"/>
        <v>171943187.58000001</v>
      </c>
      <c r="EI41" s="10">
        <v>384980</v>
      </c>
      <c r="EJ41" s="10">
        <f t="shared" si="136"/>
        <v>504323.80000000005</v>
      </c>
      <c r="EK41" s="10">
        <f t="shared" si="101"/>
        <v>2.0817537917048319</v>
      </c>
      <c r="EL41" s="10">
        <v>876000</v>
      </c>
      <c r="EM41" s="10">
        <f t="shared" si="137"/>
        <v>1121280</v>
      </c>
      <c r="EN41" s="10">
        <f t="shared" si="102"/>
        <v>4.6062742246569268</v>
      </c>
      <c r="EO41" s="11">
        <v>2778106</v>
      </c>
      <c r="EP41" s="11">
        <f t="shared" si="138"/>
        <v>3389289.32</v>
      </c>
      <c r="EQ41" s="11">
        <f t="shared" si="103"/>
        <v>13.758694639073143</v>
      </c>
      <c r="ER41" s="10">
        <f t="shared" si="104"/>
        <v>20.446722655434904</v>
      </c>
      <c r="ES41" s="10">
        <f t="shared" si="115"/>
        <v>3.0226966680936074</v>
      </c>
      <c r="ET41" s="12">
        <v>546557</v>
      </c>
      <c r="EU41" s="12">
        <f t="shared" si="139"/>
        <v>715989.67</v>
      </c>
      <c r="EV41" s="12">
        <f t="shared" si="105"/>
        <v>2.9554706923289982</v>
      </c>
      <c r="EW41" s="10">
        <v>85000</v>
      </c>
      <c r="EX41" s="10">
        <f t="shared" si="140"/>
        <v>108800</v>
      </c>
      <c r="EY41" s="10">
        <f t="shared" si="106"/>
        <v>0.4469558323011858</v>
      </c>
      <c r="EZ41" s="3">
        <f t="shared" si="107"/>
        <v>256929.21678795663</v>
      </c>
      <c r="FA41" s="3">
        <f t="shared" si="108"/>
        <v>1.042994652826428</v>
      </c>
      <c r="FB41" s="3">
        <f t="shared" si="109"/>
        <v>4.4454211774566117</v>
      </c>
      <c r="FC41" s="1">
        <f t="shared" si="110"/>
        <v>0.27229999999999999</v>
      </c>
      <c r="FD41">
        <f>2.8/10</f>
        <v>0.27999999999999997</v>
      </c>
      <c r="FE41">
        <f>3.4</f>
        <v>3.4</v>
      </c>
      <c r="FF41" s="7">
        <f t="shared" si="111"/>
        <v>11.200000000000001</v>
      </c>
      <c r="FG41" s="1">
        <f t="shared" si="112"/>
        <v>1.56</v>
      </c>
      <c r="FH41">
        <v>2.63E-2</v>
      </c>
      <c r="FI41">
        <v>3.4000000000000002E-2</v>
      </c>
      <c r="FJ41">
        <v>4.41E-2</v>
      </c>
      <c r="FK41">
        <v>4.0899999999999999E-2</v>
      </c>
      <c r="FL41" s="1">
        <f t="shared" si="113"/>
        <v>2.5666666666666672E-3</v>
      </c>
    </row>
    <row r="42" spans="1:168">
      <c r="A42" t="s">
        <v>116</v>
      </c>
      <c r="B42" s="1" t="s">
        <v>43</v>
      </c>
      <c r="C42" s="1">
        <v>211251</v>
      </c>
      <c r="D42" s="6">
        <f t="shared" si="117"/>
        <v>224096.1</v>
      </c>
      <c r="E42" s="6">
        <f t="shared" si="118"/>
        <v>232659.5</v>
      </c>
      <c r="F42" s="1">
        <v>254068</v>
      </c>
      <c r="G42" s="1">
        <f t="shared" si="119"/>
        <v>4281.7</v>
      </c>
      <c r="H42" s="1">
        <v>1.31</v>
      </c>
      <c r="I42" s="1">
        <v>1.28</v>
      </c>
      <c r="J42" s="1">
        <v>1.22</v>
      </c>
      <c r="K42">
        <v>80733</v>
      </c>
      <c r="L42">
        <f t="shared" si="24"/>
        <v>0.38216623826632773</v>
      </c>
      <c r="M42" s="1">
        <v>86482</v>
      </c>
      <c r="N42">
        <f t="shared" si="25"/>
        <v>0.3403891871467481</v>
      </c>
      <c r="O42">
        <f t="shared" si="26"/>
        <v>-0.10931643598110212</v>
      </c>
      <c r="P42">
        <f t="shared" si="27"/>
        <v>0.14903825913164626</v>
      </c>
      <c r="Q42">
        <f t="shared" si="28"/>
        <v>2.9771209794806639E-3</v>
      </c>
      <c r="R42">
        <f t="shared" si="29"/>
        <v>1248.4899366970644</v>
      </c>
      <c r="S42">
        <f t="shared" si="30"/>
        <v>0.48044636429085669</v>
      </c>
      <c r="T42">
        <f t="shared" si="31"/>
        <v>1206.8737240013065</v>
      </c>
      <c r="U42">
        <v>92297.113769999996</v>
      </c>
      <c r="V42">
        <f t="shared" si="32"/>
        <v>1.3075963859593467E-2</v>
      </c>
      <c r="W42">
        <f t="shared" si="33"/>
        <v>0.53860108317458322</v>
      </c>
      <c r="X42">
        <v>79429.064259999999</v>
      </c>
      <c r="Y42">
        <f t="shared" si="34"/>
        <v>6.7809068153131892E-6</v>
      </c>
      <c r="Z42" s="1">
        <v>6586</v>
      </c>
      <c r="AA42" s="1">
        <f t="shared" si="35"/>
        <v>3.1176183781378548E-2</v>
      </c>
      <c r="AB42" s="1">
        <v>96708</v>
      </c>
      <c r="AC42" s="1">
        <f t="shared" si="120"/>
        <v>0.4577871820725109</v>
      </c>
      <c r="AD42" s="1">
        <v>61.278341249999997</v>
      </c>
      <c r="AE42" s="1">
        <v>10325</v>
      </c>
      <c r="AF42">
        <f t="shared" si="114"/>
        <v>1.5677194047980565</v>
      </c>
      <c r="AG42">
        <f t="shared" si="36"/>
        <v>0.10676469371716921</v>
      </c>
      <c r="AH42">
        <f t="shared" si="116"/>
        <v>7.4706196795513114E-3</v>
      </c>
      <c r="AI42">
        <v>32734</v>
      </c>
      <c r="AJ42">
        <f t="shared" si="37"/>
        <v>42881.54</v>
      </c>
      <c r="AK42">
        <f t="shared" si="121"/>
        <v>0.19135335242335766</v>
      </c>
      <c r="AL42">
        <f t="shared" si="38"/>
        <v>40.567501634999999</v>
      </c>
      <c r="AM42">
        <f t="shared" si="39"/>
        <v>4.7169124227819277E-3</v>
      </c>
      <c r="AN42">
        <v>58.19</v>
      </c>
      <c r="AO42">
        <f t="shared" si="40"/>
        <v>58190</v>
      </c>
      <c r="AP42">
        <f t="shared" si="41"/>
        <v>74483.199999999997</v>
      </c>
      <c r="AQ42">
        <f t="shared" si="122"/>
        <v>0.32013822775343365</v>
      </c>
      <c r="AR42">
        <f t="shared" si="42"/>
        <v>51.759606732800002</v>
      </c>
      <c r="AS42">
        <f t="shared" si="43"/>
        <v>6.1850977617757368E-3</v>
      </c>
      <c r="AT42" s="1">
        <v>7994</v>
      </c>
      <c r="AU42" s="1">
        <f t="shared" si="44"/>
        <v>3.1464017507124076E-2</v>
      </c>
      <c r="AV42" s="1">
        <f t="shared" si="45"/>
        <v>9.2324874578603722E-3</v>
      </c>
      <c r="AW42" s="1">
        <v>83019</v>
      </c>
      <c r="AX42" s="1">
        <f t="shared" si="46"/>
        <v>101283.18</v>
      </c>
      <c r="AY42" s="1">
        <f t="shared" si="123"/>
        <v>0.39864595305193884</v>
      </c>
      <c r="AZ42" s="1">
        <f t="shared" si="47"/>
        <v>-0.12918935115838265</v>
      </c>
      <c r="BA42" s="1">
        <f t="shared" si="48"/>
        <v>60.4858519474</v>
      </c>
      <c r="BB42" s="1">
        <v>8201</v>
      </c>
      <c r="BC42" s="1">
        <f t="shared" si="49"/>
        <v>10005.219999999999</v>
      </c>
      <c r="BD42" s="1">
        <f t="shared" si="50"/>
        <v>1.2515911933950461</v>
      </c>
      <c r="BE42" s="1">
        <f t="shared" si="51"/>
        <v>9.8784615569929776E-2</v>
      </c>
      <c r="BF42" s="1">
        <f t="shared" si="52"/>
        <v>6.5907305628861981E-3</v>
      </c>
      <c r="BG42" s="1">
        <v>632</v>
      </c>
      <c r="BH42" s="1">
        <f t="shared" si="53"/>
        <v>2.9917018144292808E-3</v>
      </c>
      <c r="BI42" s="1">
        <v>18737.069</v>
      </c>
      <c r="BJ42" s="1">
        <f t="shared" si="124"/>
        <v>8.8695764753776316E-2</v>
      </c>
      <c r="BK42" s="1">
        <v>101.2013381</v>
      </c>
      <c r="BL42" s="1">
        <v>1248.6379999999999</v>
      </c>
      <c r="BM42">
        <f t="shared" si="125"/>
        <v>1.9756930379746833</v>
      </c>
      <c r="BN42">
        <f t="shared" si="126"/>
        <v>6.6639985154561793E-2</v>
      </c>
      <c r="BO42">
        <f t="shared" si="54"/>
        <v>8.7642877474735997E-4</v>
      </c>
      <c r="BP42">
        <v>7521</v>
      </c>
      <c r="BQ42">
        <f t="shared" si="55"/>
        <v>9852.51</v>
      </c>
      <c r="BR42">
        <f t="shared" si="127"/>
        <v>4.396555763353311E-2</v>
      </c>
      <c r="BS42">
        <f t="shared" si="56"/>
        <v>59.525235619600004</v>
      </c>
      <c r="BT42">
        <f t="shared" si="57"/>
        <v>7.3860367247427538E-4</v>
      </c>
      <c r="BU42">
        <v>24.24</v>
      </c>
      <c r="BV42">
        <f t="shared" si="128"/>
        <v>24240</v>
      </c>
      <c r="BW42">
        <f t="shared" si="58"/>
        <v>31027.200000000001</v>
      </c>
      <c r="BX42">
        <f t="shared" si="129"/>
        <v>0.13335883555152486</v>
      </c>
      <c r="BY42">
        <f t="shared" si="59"/>
        <v>76.247206297600002</v>
      </c>
      <c r="BZ42">
        <f t="shared" si="60"/>
        <v>1.7490324174109777E-3</v>
      </c>
      <c r="CA42" s="1">
        <v>875</v>
      </c>
      <c r="CB42" s="1">
        <f t="shared" si="61"/>
        <v>3.4439598847552625E-3</v>
      </c>
      <c r="CC42" s="1">
        <f t="shared" si="62"/>
        <v>0.15117083799752207</v>
      </c>
      <c r="CD42" s="1">
        <v>29146</v>
      </c>
      <c r="CE42" s="1">
        <f t="shared" si="63"/>
        <v>35558.120000000003</v>
      </c>
      <c r="CF42">
        <f t="shared" si="130"/>
        <v>0.13995513012264435</v>
      </c>
      <c r="CG42">
        <f t="shared" si="64"/>
        <v>0.57792348384577874</v>
      </c>
      <c r="CH42">
        <f t="shared" si="65"/>
        <v>90.917938902799989</v>
      </c>
      <c r="CI42" s="1">
        <v>1645</v>
      </c>
      <c r="CJ42" s="1">
        <f t="shared" si="66"/>
        <v>2006.8999999999999</v>
      </c>
      <c r="CK42">
        <f t="shared" si="67"/>
        <v>2.2935999999999996</v>
      </c>
      <c r="CL42">
        <f t="shared" si="68"/>
        <v>5.6439991765593896E-2</v>
      </c>
      <c r="CM42">
        <f t="shared" si="69"/>
        <v>1.5393566089555752E-3</v>
      </c>
      <c r="CN42" s="1">
        <v>22828</v>
      </c>
      <c r="CO42" s="1">
        <f t="shared" si="70"/>
        <v>0.10806102693005004</v>
      </c>
      <c r="CP42" s="1">
        <v>254837836</v>
      </c>
      <c r="CQ42" s="1">
        <f t="shared" si="131"/>
        <v>1206.3272410544803</v>
      </c>
      <c r="CR42" s="1">
        <v>108123.0123</v>
      </c>
      <c r="CS42" s="1">
        <v>37500555</v>
      </c>
      <c r="CT42">
        <f t="shared" si="71"/>
        <v>1642.7437795689505</v>
      </c>
      <c r="CU42">
        <f t="shared" si="72"/>
        <v>0.14715458108033846</v>
      </c>
      <c r="CV42">
        <f t="shared" si="73"/>
        <v>1.1156988835155495E-2</v>
      </c>
      <c r="CW42" s="1">
        <v>16133</v>
      </c>
      <c r="CX42" s="1">
        <f t="shared" si="74"/>
        <v>6.3498748366579025E-2</v>
      </c>
      <c r="CY42" s="1">
        <f t="shared" si="75"/>
        <v>-0.41238066886331765</v>
      </c>
      <c r="DA42" s="1">
        <f t="shared" si="132"/>
        <v>0</v>
      </c>
      <c r="DB42" s="1">
        <f t="shared" si="133"/>
        <v>0</v>
      </c>
      <c r="DC42" s="1">
        <f t="shared" si="76"/>
        <v>-1</v>
      </c>
      <c r="DD42" s="1">
        <f t="shared" si="77"/>
        <v>93954.54819500001</v>
      </c>
      <c r="DF42" s="1">
        <f t="shared" si="78"/>
        <v>0</v>
      </c>
      <c r="DG42">
        <f t="shared" si="79"/>
        <v>0</v>
      </c>
      <c r="DI42">
        <f t="shared" si="81"/>
        <v>0</v>
      </c>
      <c r="DJ42" s="1">
        <v>3010512</v>
      </c>
      <c r="DK42">
        <f t="shared" si="134"/>
        <v>14.250876918925828</v>
      </c>
      <c r="DL42">
        <v>1889.3069949999999</v>
      </c>
      <c r="DM42" s="1">
        <v>934346</v>
      </c>
      <c r="DN42" s="3">
        <f t="shared" si="82"/>
        <v>7.5429122724048501E-3</v>
      </c>
      <c r="DO42" s="1">
        <v>3195057</v>
      </c>
      <c r="DP42" s="1">
        <f t="shared" si="83"/>
        <v>3897969.54</v>
      </c>
      <c r="DQ42" s="3">
        <f t="shared" si="135"/>
        <v>15.342229403151912</v>
      </c>
      <c r="DR42" s="3">
        <f t="shared" si="84"/>
        <v>1905.8896083399998</v>
      </c>
      <c r="DS42" s="3">
        <f t="shared" si="85"/>
        <v>299.19593158332674</v>
      </c>
      <c r="DT42" s="3">
        <f t="shared" si="86"/>
        <v>8.0499045359267978E-3</v>
      </c>
      <c r="DU42" s="3">
        <f t="shared" si="87"/>
        <v>3.2021963125365417E-4</v>
      </c>
      <c r="DV42" s="3">
        <f t="shared" si="88"/>
        <v>274.97206386751969</v>
      </c>
      <c r="DW42" s="3">
        <f t="shared" si="89"/>
        <v>7.9297311214598862E-2</v>
      </c>
      <c r="DX42" s="3">
        <f t="shared" si="90"/>
        <v>257963793.06900001</v>
      </c>
      <c r="DY42" s="3">
        <f t="shared" si="91"/>
        <v>1221.1246009202323</v>
      </c>
      <c r="DZ42" s="3">
        <f t="shared" si="92"/>
        <v>257848348</v>
      </c>
      <c r="EA42" s="3">
        <f t="shared" si="93"/>
        <v>52734.05</v>
      </c>
      <c r="EB42" s="3">
        <f t="shared" si="94"/>
        <v>0.23531891005689079</v>
      </c>
      <c r="EC42" s="3">
        <f t="shared" si="95"/>
        <v>105510.39999999999</v>
      </c>
      <c r="ED42" s="3">
        <f t="shared" si="96"/>
        <v>0.45349706330495854</v>
      </c>
      <c r="EE42" s="9">
        <f t="shared" si="97"/>
        <v>4034810.84</v>
      </c>
      <c r="EF42" s="13">
        <f t="shared" si="98"/>
        <v>15.880830486326495</v>
      </c>
      <c r="EG42" s="14">
        <f t="shared" si="99"/>
        <v>-0.98699491397163019</v>
      </c>
      <c r="EH42" s="9">
        <f t="shared" si="100"/>
        <v>3897969.54</v>
      </c>
      <c r="EI42" s="10">
        <v>331449</v>
      </c>
      <c r="EJ42" s="10">
        <f t="shared" si="136"/>
        <v>434198.19</v>
      </c>
      <c r="EK42" s="10">
        <f t="shared" si="101"/>
        <v>1.9375535317214356</v>
      </c>
      <c r="EL42" s="10">
        <v>271000</v>
      </c>
      <c r="EM42" s="10">
        <f t="shared" si="137"/>
        <v>346880</v>
      </c>
      <c r="EN42" s="10">
        <f t="shared" si="102"/>
        <v>1.4909341763392425</v>
      </c>
      <c r="EO42" s="11">
        <v>1433986</v>
      </c>
      <c r="EP42" s="11">
        <f t="shared" si="138"/>
        <v>1749462.92</v>
      </c>
      <c r="EQ42" s="11">
        <f t="shared" si="103"/>
        <v>6.8858058472534909</v>
      </c>
      <c r="ER42" s="10">
        <f t="shared" si="104"/>
        <v>10.314293555314169</v>
      </c>
      <c r="ES42" s="10">
        <f t="shared" si="115"/>
        <v>5.0434240083025825</v>
      </c>
      <c r="ET42" s="12">
        <v>239123</v>
      </c>
      <c r="EU42" s="12">
        <f t="shared" si="139"/>
        <v>313251.13</v>
      </c>
      <c r="EV42" s="12">
        <f t="shared" si="105"/>
        <v>1.3978428451008296</v>
      </c>
      <c r="EW42" s="10">
        <v>24000</v>
      </c>
      <c r="EX42" s="10">
        <f t="shared" si="140"/>
        <v>30720</v>
      </c>
      <c r="EY42" s="10">
        <f t="shared" si="106"/>
        <v>0.13203845104111372</v>
      </c>
      <c r="EZ42" s="3">
        <f t="shared" si="107"/>
        <v>121042.17619926199</v>
      </c>
      <c r="FA42" s="3">
        <f t="shared" si="108"/>
        <v>0.4764164562214131</v>
      </c>
      <c r="FB42" s="3">
        <f t="shared" si="109"/>
        <v>2.0062977523633565</v>
      </c>
      <c r="FC42" s="1">
        <f t="shared" si="110"/>
        <v>0.23029999999999998</v>
      </c>
      <c r="FD42">
        <f>2.38/10</f>
        <v>0.23799999999999999</v>
      </c>
      <c r="FE42">
        <f>4</f>
        <v>4</v>
      </c>
      <c r="FF42" s="7">
        <f t="shared" si="111"/>
        <v>13.404999999999999</v>
      </c>
      <c r="FG42" s="1">
        <f t="shared" si="112"/>
        <v>1.881</v>
      </c>
      <c r="FH42">
        <v>2.63E-2</v>
      </c>
      <c r="FI42">
        <v>3.4000000000000002E-2</v>
      </c>
      <c r="FJ42">
        <v>4.41E-2</v>
      </c>
      <c r="FK42">
        <v>4.0899999999999999E-2</v>
      </c>
      <c r="FL42" s="1">
        <f t="shared" si="113"/>
        <v>2.5666666666666672E-3</v>
      </c>
    </row>
    <row r="43" spans="1:168">
      <c r="A43" t="s">
        <v>116</v>
      </c>
      <c r="B43" s="1" t="s">
        <v>44</v>
      </c>
      <c r="C43" s="1">
        <v>120717</v>
      </c>
      <c r="D43" s="6">
        <f t="shared" si="117"/>
        <v>123642.3</v>
      </c>
      <c r="E43" s="6">
        <f t="shared" si="118"/>
        <v>125592.5</v>
      </c>
      <c r="F43" s="1">
        <v>130468</v>
      </c>
      <c r="G43" s="1">
        <f t="shared" si="119"/>
        <v>975.1</v>
      </c>
      <c r="H43" s="1">
        <v>1.31</v>
      </c>
      <c r="I43" s="1">
        <v>1.28</v>
      </c>
      <c r="J43" s="1">
        <v>1.22</v>
      </c>
      <c r="K43">
        <v>46963</v>
      </c>
      <c r="L43">
        <f t="shared" si="24"/>
        <v>0.38903385604347357</v>
      </c>
      <c r="M43" s="1">
        <v>43438</v>
      </c>
      <c r="N43">
        <f t="shared" si="25"/>
        <v>0.33293987797774166</v>
      </c>
      <c r="O43">
        <f t="shared" si="26"/>
        <v>-0.14418790856974553</v>
      </c>
      <c r="P43">
        <f t="shared" si="27"/>
        <v>0.28135667556347277</v>
      </c>
      <c r="Q43">
        <f t="shared" si="28"/>
        <v>0.23134411875981445</v>
      </c>
      <c r="R43">
        <f t="shared" si="29"/>
        <v>1039.7695508021391</v>
      </c>
      <c r="S43">
        <f t="shared" si="30"/>
        <v>1094.9643323782234</v>
      </c>
      <c r="T43">
        <f t="shared" si="31"/>
        <v>618.42958005914659</v>
      </c>
      <c r="U43">
        <v>92297.113769999996</v>
      </c>
      <c r="V43">
        <f t="shared" si="32"/>
        <v>6.7004216578239227E-3</v>
      </c>
      <c r="W43">
        <f t="shared" si="33"/>
        <v>641.49400619308949</v>
      </c>
      <c r="X43">
        <v>79429.064259999999</v>
      </c>
      <c r="Y43">
        <f t="shared" si="34"/>
        <v>8.0763132761233099E-3</v>
      </c>
      <c r="Z43" s="1">
        <v>4017</v>
      </c>
      <c r="AA43" s="1">
        <f t="shared" si="35"/>
        <v>3.327617485523994E-2</v>
      </c>
      <c r="AB43" s="1">
        <v>54410</v>
      </c>
      <c r="AC43" s="1">
        <f t="shared" si="120"/>
        <v>0.4507235931973127</v>
      </c>
      <c r="AD43" s="1">
        <v>61.278341249999997</v>
      </c>
      <c r="AE43" s="1">
        <v>5794</v>
      </c>
      <c r="AF43">
        <f t="shared" si="114"/>
        <v>1.4423699278068209</v>
      </c>
      <c r="AG43">
        <f t="shared" si="36"/>
        <v>0.10648777798198861</v>
      </c>
      <c r="AH43">
        <f t="shared" si="116"/>
        <v>7.3553491168841445E-3</v>
      </c>
      <c r="AI43">
        <v>21871</v>
      </c>
      <c r="AJ43">
        <f t="shared" si="37"/>
        <v>28651.010000000002</v>
      </c>
      <c r="AK43">
        <f t="shared" si="121"/>
        <v>0.23172498408716111</v>
      </c>
      <c r="AL43">
        <f t="shared" si="38"/>
        <v>40.567501634999999</v>
      </c>
      <c r="AM43">
        <f t="shared" si="39"/>
        <v>5.7120841744722622E-3</v>
      </c>
      <c r="AN43">
        <v>33.49</v>
      </c>
      <c r="AO43">
        <f t="shared" si="40"/>
        <v>33490</v>
      </c>
      <c r="AP43">
        <f t="shared" si="41"/>
        <v>42867.200000000004</v>
      </c>
      <c r="AQ43">
        <f t="shared" si="122"/>
        <v>0.3413197444114896</v>
      </c>
      <c r="AR43">
        <f t="shared" si="42"/>
        <v>51.759606732800002</v>
      </c>
      <c r="AS43">
        <f t="shared" si="43"/>
        <v>6.5943264633654122E-3</v>
      </c>
      <c r="AT43" s="1">
        <v>5178</v>
      </c>
      <c r="AU43" s="1">
        <f t="shared" si="44"/>
        <v>3.9687892816629364E-2</v>
      </c>
      <c r="AV43" s="1">
        <f t="shared" si="45"/>
        <v>0.19268194103685515</v>
      </c>
      <c r="AW43" s="1">
        <v>44023</v>
      </c>
      <c r="AX43" s="1">
        <f t="shared" si="46"/>
        <v>53708.06</v>
      </c>
      <c r="AY43" s="1">
        <f t="shared" si="123"/>
        <v>0.41165695802802216</v>
      </c>
      <c r="AZ43" s="1">
        <f t="shared" si="47"/>
        <v>-8.6675372132535317E-2</v>
      </c>
      <c r="BA43" s="1">
        <f t="shared" si="48"/>
        <v>60.4858519474</v>
      </c>
      <c r="BB43" s="1">
        <v>4809</v>
      </c>
      <c r="BC43" s="1">
        <f t="shared" si="49"/>
        <v>5866.98</v>
      </c>
      <c r="BD43" s="1">
        <f t="shared" si="50"/>
        <v>1.1330590961761298</v>
      </c>
      <c r="BE43" s="1">
        <f t="shared" si="51"/>
        <v>0.10923835267928128</v>
      </c>
      <c r="BF43" s="1">
        <f t="shared" si="52"/>
        <v>6.8058387998900845E-3</v>
      </c>
      <c r="BG43" s="1">
        <v>1897</v>
      </c>
      <c r="BH43" s="1">
        <f t="shared" si="53"/>
        <v>1.5714439556980375E-2</v>
      </c>
      <c r="BI43" s="1">
        <v>42762.616000000002</v>
      </c>
      <c r="BJ43" s="1">
        <f t="shared" si="124"/>
        <v>0.35423855794958459</v>
      </c>
      <c r="BK43" s="1">
        <v>101.2013381</v>
      </c>
      <c r="BL43" s="1">
        <v>2949.3780000000002</v>
      </c>
      <c r="BM43">
        <f t="shared" si="125"/>
        <v>1.5547590933052189</v>
      </c>
      <c r="BN43">
        <f t="shared" si="126"/>
        <v>6.8970944153650474E-2</v>
      </c>
      <c r="BO43">
        <f t="shared" si="54"/>
        <v>3.5003347248190641E-3</v>
      </c>
      <c r="BP43">
        <v>15838</v>
      </c>
      <c r="BQ43">
        <f t="shared" si="55"/>
        <v>20747.780000000002</v>
      </c>
      <c r="BR43">
        <f t="shared" si="127"/>
        <v>0.16780486936913985</v>
      </c>
      <c r="BS43">
        <f t="shared" si="56"/>
        <v>59.525235619600004</v>
      </c>
      <c r="BT43">
        <f t="shared" si="57"/>
        <v>2.8190542653456778E-3</v>
      </c>
      <c r="BU43">
        <v>26.63</v>
      </c>
      <c r="BV43">
        <f t="shared" si="128"/>
        <v>26630</v>
      </c>
      <c r="BW43">
        <f t="shared" si="58"/>
        <v>34086.400000000001</v>
      </c>
      <c r="BX43">
        <f t="shared" si="129"/>
        <v>0.27140474152517069</v>
      </c>
      <c r="BY43">
        <f t="shared" si="59"/>
        <v>76.247206297600002</v>
      </c>
      <c r="BZ43">
        <f t="shared" si="60"/>
        <v>3.5595368631062036E-3</v>
      </c>
      <c r="CA43" s="1">
        <v>1862</v>
      </c>
      <c r="CB43" s="1">
        <f t="shared" si="61"/>
        <v>1.427169880737039E-2</v>
      </c>
      <c r="CC43" s="1">
        <f t="shared" si="62"/>
        <v>-9.1809876157442558E-2</v>
      </c>
      <c r="CD43" s="1">
        <v>41592</v>
      </c>
      <c r="CE43" s="1">
        <f t="shared" si="63"/>
        <v>50742.239999999998</v>
      </c>
      <c r="CF43">
        <f t="shared" si="130"/>
        <v>0.38892479381917405</v>
      </c>
      <c r="CG43">
        <f t="shared" si="64"/>
        <v>9.7917731119846155E-2</v>
      </c>
      <c r="CH43">
        <f t="shared" si="65"/>
        <v>90.917938902799989</v>
      </c>
      <c r="CI43" s="1">
        <v>2620</v>
      </c>
      <c r="CJ43" s="1">
        <f t="shared" si="66"/>
        <v>3196.4</v>
      </c>
      <c r="CK43">
        <f t="shared" si="67"/>
        <v>1.7166487647690656</v>
      </c>
      <c r="CL43">
        <f t="shared" si="68"/>
        <v>6.2992883246778236E-2</v>
      </c>
      <c r="CM43">
        <f t="shared" si="69"/>
        <v>4.2777563868333177E-3</v>
      </c>
      <c r="CN43" s="1">
        <v>15217</v>
      </c>
      <c r="CO43" s="1">
        <f t="shared" si="70"/>
        <v>0.12605515378944143</v>
      </c>
      <c r="CP43" s="1">
        <v>74557791</v>
      </c>
      <c r="CQ43" s="1">
        <f t="shared" si="131"/>
        <v>617.62461790799966</v>
      </c>
      <c r="CR43" s="1">
        <v>108123.0123</v>
      </c>
      <c r="CS43" s="1">
        <v>21962627</v>
      </c>
      <c r="CT43">
        <f t="shared" si="71"/>
        <v>1443.2954590260892</v>
      </c>
      <c r="CU43">
        <f t="shared" si="72"/>
        <v>0.29457185768821931</v>
      </c>
      <c r="CV43">
        <f t="shared" si="73"/>
        <v>5.712240204650677E-3</v>
      </c>
      <c r="CW43" s="1">
        <v>12155</v>
      </c>
      <c r="CX43" s="1">
        <f t="shared" si="74"/>
        <v>9.3164607413312076E-2</v>
      </c>
      <c r="CY43" s="1">
        <f t="shared" si="75"/>
        <v>-0.26092186941494427</v>
      </c>
      <c r="CZ43" s="1">
        <v>68516385</v>
      </c>
      <c r="DA43" s="1">
        <f t="shared" si="132"/>
        <v>83589989.700000003</v>
      </c>
      <c r="DB43" s="1">
        <f t="shared" si="133"/>
        <v>640.69342444124231</v>
      </c>
      <c r="DC43" s="1">
        <f t="shared" si="76"/>
        <v>3.7350853357142152E-2</v>
      </c>
      <c r="DD43" s="1">
        <f t="shared" si="77"/>
        <v>93954.54819500001</v>
      </c>
      <c r="DE43" s="1">
        <v>17220309</v>
      </c>
      <c r="DF43" s="1">
        <f t="shared" si="78"/>
        <v>21008776.98</v>
      </c>
      <c r="DG43">
        <f t="shared" si="79"/>
        <v>1728.4061686548746</v>
      </c>
      <c r="DH43">
        <f t="shared" si="80"/>
        <v>0.25133125456049671</v>
      </c>
      <c r="DI43">
        <f t="shared" si="81"/>
        <v>6.8191847733810734E-3</v>
      </c>
      <c r="DJ43" s="1">
        <v>5263337</v>
      </c>
      <c r="DK43">
        <f t="shared" si="134"/>
        <v>43.60062791487529</v>
      </c>
      <c r="DL43">
        <v>1889.3069949999999</v>
      </c>
      <c r="DM43" s="1">
        <v>514177</v>
      </c>
      <c r="DN43" s="3">
        <f t="shared" si="82"/>
        <v>2.3077577138211618E-2</v>
      </c>
      <c r="DO43" s="1">
        <v>5866018</v>
      </c>
      <c r="DP43" s="1">
        <f t="shared" si="83"/>
        <v>7156541.96</v>
      </c>
      <c r="DQ43" s="3">
        <f t="shared" si="135"/>
        <v>54.852852500229943</v>
      </c>
      <c r="DR43" s="3">
        <f t="shared" si="84"/>
        <v>1905.8896083399998</v>
      </c>
      <c r="DS43" s="3">
        <f t="shared" si="85"/>
        <v>491862.36073853151</v>
      </c>
      <c r="DT43" s="3">
        <f t="shared" si="86"/>
        <v>2.8780708106177211E-2</v>
      </c>
      <c r="DU43" s="3">
        <f t="shared" si="87"/>
        <v>0.95660124964463888</v>
      </c>
      <c r="DV43" s="3">
        <f t="shared" si="88"/>
        <v>529.59141076050344</v>
      </c>
      <c r="DW43" s="3">
        <f t="shared" si="89"/>
        <v>0.14893217838506909</v>
      </c>
      <c r="DX43" s="3">
        <f t="shared" si="90"/>
        <v>79918300.615999997</v>
      </c>
      <c r="DY43" s="3">
        <f t="shared" si="91"/>
        <v>662.03020797402189</v>
      </c>
      <c r="DZ43" s="3">
        <f t="shared" si="92"/>
        <v>79821128</v>
      </c>
      <c r="EA43" s="3">
        <f t="shared" si="93"/>
        <v>49398.790000000008</v>
      </c>
      <c r="EB43" s="3">
        <f t="shared" si="94"/>
        <v>0.39952985345630099</v>
      </c>
      <c r="EC43" s="3">
        <f t="shared" si="95"/>
        <v>76953.600000000006</v>
      </c>
      <c r="ED43" s="3">
        <f t="shared" si="96"/>
        <v>0.61272448593666029</v>
      </c>
      <c r="EE43" s="9">
        <f t="shared" si="97"/>
        <v>90850981.959999993</v>
      </c>
      <c r="EF43" s="13">
        <f t="shared" si="98"/>
        <v>696.3468586933194</v>
      </c>
      <c r="EG43" s="14">
        <f t="shared" si="99"/>
        <v>5.1835475641383577E-2</v>
      </c>
      <c r="EH43" s="9">
        <f t="shared" si="100"/>
        <v>90746531.659999996</v>
      </c>
      <c r="EI43" s="10">
        <v>126712</v>
      </c>
      <c r="EJ43" s="10">
        <f t="shared" si="136"/>
        <v>165992.72</v>
      </c>
      <c r="EK43" s="10">
        <f t="shared" si="101"/>
        <v>1.3425237155892442</v>
      </c>
      <c r="EL43" s="10">
        <v>97000</v>
      </c>
      <c r="EM43" s="10">
        <f t="shared" si="137"/>
        <v>124160</v>
      </c>
      <c r="EN43" s="10">
        <f t="shared" si="102"/>
        <v>0.98859406413599538</v>
      </c>
      <c r="EO43" s="11">
        <v>1057375</v>
      </c>
      <c r="EP43" s="11">
        <f t="shared" si="138"/>
        <v>1289997.5</v>
      </c>
      <c r="EQ43" s="11">
        <f t="shared" si="103"/>
        <v>9.8874628261336106</v>
      </c>
      <c r="ER43" s="10">
        <f t="shared" si="104"/>
        <v>12.21858060585885</v>
      </c>
      <c r="ES43" s="10">
        <f t="shared" si="115"/>
        <v>10.389799452319588</v>
      </c>
      <c r="ET43" s="12">
        <v>955593</v>
      </c>
      <c r="EU43" s="12">
        <f t="shared" si="139"/>
        <v>1251826.83</v>
      </c>
      <c r="EV43" s="12">
        <f t="shared" si="105"/>
        <v>10.124583819615133</v>
      </c>
      <c r="EW43" s="10">
        <v>228000</v>
      </c>
      <c r="EX43" s="10">
        <f t="shared" si="140"/>
        <v>291840</v>
      </c>
      <c r="EY43" s="10">
        <f t="shared" si="106"/>
        <v>2.3237056352887313</v>
      </c>
      <c r="EZ43" s="3">
        <f t="shared" si="107"/>
        <v>2368874.2751288661</v>
      </c>
      <c r="FA43" s="3">
        <f t="shared" si="108"/>
        <v>18.156745524794324</v>
      </c>
      <c r="FB43" s="3">
        <f t="shared" si="109"/>
        <v>30.605034979698189</v>
      </c>
      <c r="FC43" s="1">
        <f t="shared" si="110"/>
        <v>0.20329999999999998</v>
      </c>
      <c r="FD43">
        <f>2.11/10</f>
        <v>0.21099999999999999</v>
      </c>
      <c r="FE43">
        <f>3.3</f>
        <v>3.3</v>
      </c>
      <c r="FF43" s="7">
        <f t="shared" si="111"/>
        <v>11.022500000000001</v>
      </c>
      <c r="FG43" s="1">
        <f t="shared" si="112"/>
        <v>1.5445</v>
      </c>
      <c r="FH43">
        <v>2.63E-2</v>
      </c>
      <c r="FI43">
        <v>3.4000000000000002E-2</v>
      </c>
      <c r="FJ43">
        <v>4.41E-2</v>
      </c>
      <c r="FK43">
        <v>4.0899999999999999E-2</v>
      </c>
      <c r="FL43" s="1">
        <f t="shared" si="113"/>
        <v>2.5666666666666672E-3</v>
      </c>
    </row>
    <row r="44" spans="1:168">
      <c r="A44" t="s">
        <v>116</v>
      </c>
      <c r="B44" s="1" t="s">
        <v>45</v>
      </c>
      <c r="C44" s="1">
        <v>1888946</v>
      </c>
      <c r="D44" s="6">
        <f t="shared" si="117"/>
        <v>1926949.1</v>
      </c>
      <c r="E44" s="6">
        <f t="shared" si="118"/>
        <v>1952284.5</v>
      </c>
      <c r="F44" s="1">
        <v>2015623</v>
      </c>
      <c r="G44" s="1">
        <f t="shared" si="119"/>
        <v>12667.7</v>
      </c>
      <c r="H44" s="1">
        <v>1.31</v>
      </c>
      <c r="I44" s="1">
        <v>1.28</v>
      </c>
      <c r="J44" s="1">
        <v>1.22</v>
      </c>
      <c r="K44">
        <v>812940</v>
      </c>
      <c r="L44">
        <f t="shared" si="24"/>
        <v>0.43036698772754756</v>
      </c>
      <c r="M44" s="1">
        <v>764841</v>
      </c>
      <c r="N44">
        <f t="shared" si="25"/>
        <v>0.3794563765148542</v>
      </c>
      <c r="O44">
        <f t="shared" si="26"/>
        <v>-0.11829580954039937</v>
      </c>
      <c r="P44">
        <f t="shared" si="27"/>
        <v>0.1830611825936598</v>
      </c>
      <c r="Q44">
        <f t="shared" si="28"/>
        <v>0.18794638933733665</v>
      </c>
      <c r="R44">
        <f t="shared" si="29"/>
        <v>1271.0553554276435</v>
      </c>
      <c r="S44">
        <f t="shared" si="30"/>
        <v>1446.6112165889015</v>
      </c>
      <c r="T44">
        <f t="shared" si="31"/>
        <v>1372.3783096345794</v>
      </c>
      <c r="U44">
        <v>92297.113769999996</v>
      </c>
      <c r="V44">
        <f t="shared" si="32"/>
        <v>1.4869135702926537E-2</v>
      </c>
      <c r="W44">
        <f t="shared" si="33"/>
        <v>1647.1630808340647</v>
      </c>
      <c r="X44">
        <v>79429.064259999999</v>
      </c>
      <c r="Y44">
        <f t="shared" si="34"/>
        <v>2.0737536016316463E-2</v>
      </c>
      <c r="Z44" s="1">
        <v>75536</v>
      </c>
      <c r="AA44" s="1">
        <f t="shared" si="35"/>
        <v>3.9988437996639398E-2</v>
      </c>
      <c r="AB44" s="1">
        <v>999895</v>
      </c>
      <c r="AC44" s="1">
        <f t="shared" si="120"/>
        <v>0.52934017171480818</v>
      </c>
      <c r="AD44" s="1">
        <v>61.278341249999997</v>
      </c>
      <c r="AE44" s="1">
        <v>122261</v>
      </c>
      <c r="AF44">
        <f t="shared" si="114"/>
        <v>1.6185792205041305</v>
      </c>
      <c r="AG44">
        <f t="shared" si="36"/>
        <v>0.12227383875306908</v>
      </c>
      <c r="AH44">
        <f t="shared" si="116"/>
        <v>8.6382914569315006E-3</v>
      </c>
      <c r="AI44">
        <v>422573</v>
      </c>
      <c r="AJ44">
        <f t="shared" si="37"/>
        <v>553570.63</v>
      </c>
      <c r="AK44">
        <f t="shared" si="121"/>
        <v>0.28727828358310037</v>
      </c>
      <c r="AL44">
        <f t="shared" si="38"/>
        <v>40.567501634999999</v>
      </c>
      <c r="AM44">
        <f t="shared" si="39"/>
        <v>7.0814881864760511E-3</v>
      </c>
      <c r="AN44">
        <v>625.64</v>
      </c>
      <c r="AO44">
        <f t="shared" si="40"/>
        <v>625640</v>
      </c>
      <c r="AP44">
        <f t="shared" si="41"/>
        <v>800819.20000000007</v>
      </c>
      <c r="AQ44">
        <f t="shared" si="122"/>
        <v>0.4101959524854088</v>
      </c>
      <c r="AR44">
        <f t="shared" si="42"/>
        <v>51.759606732800002</v>
      </c>
      <c r="AS44">
        <f t="shared" si="43"/>
        <v>7.9250206556431991E-3</v>
      </c>
      <c r="AT44" s="1">
        <v>91991</v>
      </c>
      <c r="AU44" s="1">
        <f t="shared" si="44"/>
        <v>4.5638991021634503E-2</v>
      </c>
      <c r="AV44" s="1">
        <f t="shared" si="45"/>
        <v>0.14130466975154105</v>
      </c>
      <c r="AW44" s="1">
        <v>792901</v>
      </c>
      <c r="AX44" s="1">
        <f t="shared" si="46"/>
        <v>967339.22</v>
      </c>
      <c r="AY44" s="1">
        <f t="shared" si="123"/>
        <v>0.47992070937868836</v>
      </c>
      <c r="AZ44" s="1">
        <f t="shared" si="47"/>
        <v>-9.3360498554312388E-2</v>
      </c>
      <c r="BA44" s="1">
        <f t="shared" si="48"/>
        <v>60.4858519474</v>
      </c>
      <c r="BB44" s="1">
        <v>105163</v>
      </c>
      <c r="BC44" s="1">
        <f t="shared" si="49"/>
        <v>128298.86</v>
      </c>
      <c r="BD44" s="1">
        <f t="shared" si="50"/>
        <v>1.394689263080084</v>
      </c>
      <c r="BE44" s="1">
        <f t="shared" si="51"/>
        <v>0.13263068151004981</v>
      </c>
      <c r="BF44" s="1">
        <f t="shared" si="52"/>
        <v>7.9344291917395719E-3</v>
      </c>
      <c r="BG44" s="1">
        <v>27213</v>
      </c>
      <c r="BH44" s="1">
        <f t="shared" si="53"/>
        <v>1.4406446769785902E-2</v>
      </c>
      <c r="BI44" s="1">
        <v>1576261.4709999999</v>
      </c>
      <c r="BJ44" s="1">
        <f t="shared" si="124"/>
        <v>0.83446613667092651</v>
      </c>
      <c r="BK44" s="1">
        <v>101.2013381</v>
      </c>
      <c r="BL44" s="1">
        <v>63151.150999999998</v>
      </c>
      <c r="BM44">
        <f t="shared" si="125"/>
        <v>2.3206243707051777</v>
      </c>
      <c r="BN44">
        <f t="shared" si="126"/>
        <v>4.0063880366203536E-2</v>
      </c>
      <c r="BO44">
        <f t="shared" si="54"/>
        <v>8.245603786842878E-3</v>
      </c>
      <c r="BP44">
        <v>626855</v>
      </c>
      <c r="BQ44">
        <f t="shared" si="55"/>
        <v>821180.05</v>
      </c>
      <c r="BR44">
        <f t="shared" si="127"/>
        <v>0.42615554816678863</v>
      </c>
      <c r="BS44">
        <f t="shared" si="56"/>
        <v>59.525235619600004</v>
      </c>
      <c r="BT44">
        <f t="shared" si="57"/>
        <v>7.1592416851596211E-3</v>
      </c>
      <c r="BU44">
        <v>976.3</v>
      </c>
      <c r="BV44">
        <f t="shared" si="128"/>
        <v>976300</v>
      </c>
      <c r="BW44">
        <f t="shared" si="58"/>
        <v>1249664</v>
      </c>
      <c r="BX44">
        <f t="shared" si="129"/>
        <v>0.6401034275485975</v>
      </c>
      <c r="BY44">
        <f t="shared" si="59"/>
        <v>76.247206297600002</v>
      </c>
      <c r="BZ44">
        <f t="shared" si="60"/>
        <v>8.3951066357790712E-3</v>
      </c>
      <c r="CA44" s="1">
        <v>28532</v>
      </c>
      <c r="CB44" s="1">
        <f t="shared" si="61"/>
        <v>1.4155424898406101E-2</v>
      </c>
      <c r="CC44" s="1">
        <f t="shared" si="62"/>
        <v>-1.7424273687406337E-2</v>
      </c>
      <c r="CD44" s="1">
        <v>1357154</v>
      </c>
      <c r="CE44" s="1">
        <f t="shared" si="63"/>
        <v>1655727.88</v>
      </c>
      <c r="CF44">
        <f t="shared" si="130"/>
        <v>0.82144720515691672</v>
      </c>
      <c r="CG44">
        <f t="shared" si="64"/>
        <v>-1.5601509686119034E-2</v>
      </c>
      <c r="CH44">
        <f t="shared" si="65"/>
        <v>90.917938902799989</v>
      </c>
      <c r="CI44" s="1">
        <v>56089</v>
      </c>
      <c r="CJ44" s="1">
        <f t="shared" si="66"/>
        <v>68428.58</v>
      </c>
      <c r="CK44">
        <f t="shared" si="67"/>
        <v>2.3983099677555026</v>
      </c>
      <c r="CL44">
        <f t="shared" si="68"/>
        <v>4.1328397514209886E-2</v>
      </c>
      <c r="CM44">
        <f t="shared" si="69"/>
        <v>9.0350398949884097E-3</v>
      </c>
      <c r="CN44" s="1">
        <v>270424</v>
      </c>
      <c r="CO44" s="1">
        <f t="shared" si="70"/>
        <v>0.14316131853425137</v>
      </c>
      <c r="CP44" s="1">
        <v>2589772362</v>
      </c>
      <c r="CQ44" s="1">
        <f t="shared" si="131"/>
        <v>1371.0145033261936</v>
      </c>
      <c r="CR44" s="1">
        <v>108123.0123</v>
      </c>
      <c r="CS44" s="1">
        <v>474138128</v>
      </c>
      <c r="CT44">
        <f t="shared" si="71"/>
        <v>1753.3137887169778</v>
      </c>
      <c r="CU44">
        <f t="shared" si="72"/>
        <v>0.18308100548028011</v>
      </c>
      <c r="CV44">
        <f t="shared" si="73"/>
        <v>1.268013602434746E-2</v>
      </c>
      <c r="CW44" s="1">
        <v>311332</v>
      </c>
      <c r="CX44" s="1">
        <f t="shared" si="74"/>
        <v>0.15445944008378551</v>
      </c>
      <c r="CY44" s="1">
        <f t="shared" si="75"/>
        <v>7.8918814559751749E-2</v>
      </c>
      <c r="CZ44" s="1">
        <v>2719210429</v>
      </c>
      <c r="DA44" s="1">
        <f t="shared" si="132"/>
        <v>3317436723.3800001</v>
      </c>
      <c r="DB44" s="1">
        <f t="shared" si="133"/>
        <v>1645.8617129195291</v>
      </c>
      <c r="DC44" s="1">
        <f t="shared" si="76"/>
        <v>0.20046995048304275</v>
      </c>
      <c r="DD44" s="1">
        <f t="shared" si="77"/>
        <v>93954.54819500001</v>
      </c>
      <c r="DE44" s="1">
        <v>511909475</v>
      </c>
      <c r="DF44" s="1">
        <f t="shared" si="78"/>
        <v>624529559.5</v>
      </c>
      <c r="DG44">
        <f t="shared" si="79"/>
        <v>2005.992186797374</v>
      </c>
      <c r="DH44">
        <f t="shared" si="80"/>
        <v>0.1882566606616968</v>
      </c>
      <c r="DI44">
        <f t="shared" si="81"/>
        <v>1.7517637459163654E-2</v>
      </c>
      <c r="DJ44" s="1">
        <v>2190031</v>
      </c>
      <c r="DK44">
        <f t="shared" si="134"/>
        <v>1.1593931218785503</v>
      </c>
      <c r="DL44">
        <v>1889.3069949999999</v>
      </c>
      <c r="DM44" s="1">
        <v>635755</v>
      </c>
      <c r="DN44" s="3">
        <f t="shared" si="82"/>
        <v>6.1366052470395382E-4</v>
      </c>
      <c r="DO44" s="1">
        <v>3196922</v>
      </c>
      <c r="DP44" s="1">
        <f t="shared" si="83"/>
        <v>3900244.84</v>
      </c>
      <c r="DQ44" s="3">
        <f t="shared" si="135"/>
        <v>1.9350071119450412</v>
      </c>
      <c r="DR44" s="3">
        <f t="shared" si="84"/>
        <v>1905.8896083399998</v>
      </c>
      <c r="DS44" s="3">
        <f t="shared" si="85"/>
        <v>837345.87667122844</v>
      </c>
      <c r="DT44" s="3">
        <f t="shared" si="86"/>
        <v>1.0152776443491931E-3</v>
      </c>
      <c r="DU44" s="3">
        <f t="shared" si="87"/>
        <v>1.3170889362588236</v>
      </c>
      <c r="DV44" s="3">
        <f t="shared" si="88"/>
        <v>627.83969638939948</v>
      </c>
      <c r="DW44" s="3">
        <f t="shared" si="89"/>
        <v>0.1179390773809182</v>
      </c>
      <c r="DX44" s="3">
        <f t="shared" si="90"/>
        <v>2594538549.4710002</v>
      </c>
      <c r="DY44" s="3">
        <f t="shared" si="91"/>
        <v>1373.537702756458</v>
      </c>
      <c r="DZ44" s="3">
        <f t="shared" si="92"/>
        <v>2591962393</v>
      </c>
      <c r="EA44" s="3">
        <f t="shared" si="93"/>
        <v>1374750.6800000002</v>
      </c>
      <c r="EB44" s="3">
        <f t="shared" si="94"/>
        <v>0.71343383174988906</v>
      </c>
      <c r="EC44" s="3">
        <f t="shared" si="95"/>
        <v>2050483.2000000002</v>
      </c>
      <c r="ED44" s="3">
        <f t="shared" si="96"/>
        <v>1.0502993800340064</v>
      </c>
      <c r="EE44" s="9">
        <f t="shared" si="97"/>
        <v>3323960035.3200002</v>
      </c>
      <c r="EF44" s="13">
        <f t="shared" si="98"/>
        <v>1649.0980879460099</v>
      </c>
      <c r="EG44" s="14">
        <f t="shared" si="99"/>
        <v>0.20062091097794313</v>
      </c>
      <c r="EH44" s="9">
        <f t="shared" si="100"/>
        <v>3321336968.2200003</v>
      </c>
      <c r="EI44" s="10">
        <v>3083405</v>
      </c>
      <c r="EJ44" s="10">
        <f t="shared" si="136"/>
        <v>4039260.5500000003</v>
      </c>
      <c r="EK44" s="10">
        <f t="shared" si="101"/>
        <v>2.0961947308312401</v>
      </c>
      <c r="EL44" s="10">
        <v>2655000</v>
      </c>
      <c r="EM44" s="10">
        <f t="shared" si="137"/>
        <v>3398400</v>
      </c>
      <c r="EN44" s="10">
        <f t="shared" si="102"/>
        <v>1.7407298987417048</v>
      </c>
      <c r="EO44" s="11">
        <v>22245350</v>
      </c>
      <c r="EP44" s="11">
        <f t="shared" si="138"/>
        <v>27139327</v>
      </c>
      <c r="EQ44" s="11">
        <f t="shared" si="103"/>
        <v>13.464485670187331</v>
      </c>
      <c r="ER44" s="10">
        <f t="shared" si="104"/>
        <v>17.301410299760278</v>
      </c>
      <c r="ES44" s="10">
        <f t="shared" si="115"/>
        <v>7.9859130767419959</v>
      </c>
      <c r="ET44" s="12">
        <v>108120</v>
      </c>
      <c r="EU44" s="12">
        <f t="shared" si="139"/>
        <v>141637.20000000001</v>
      </c>
      <c r="EV44" s="12">
        <f t="shared" si="105"/>
        <v>7.3503342667432164E-2</v>
      </c>
      <c r="EW44" s="10">
        <v>20000</v>
      </c>
      <c r="EX44" s="10">
        <f t="shared" si="140"/>
        <v>25600</v>
      </c>
      <c r="EY44" s="10">
        <f t="shared" si="106"/>
        <v>1.3112842928374425E-2</v>
      </c>
      <c r="EZ44" s="3">
        <f t="shared" si="107"/>
        <v>159718.26153483993</v>
      </c>
      <c r="FA44" s="3">
        <f t="shared" si="108"/>
        <v>7.924014636409682E-2</v>
      </c>
      <c r="FB44" s="3">
        <f t="shared" si="109"/>
        <v>0.1658563319599034</v>
      </c>
      <c r="FC44" s="1">
        <f t="shared" si="110"/>
        <v>0.3463</v>
      </c>
      <c r="FD44">
        <f>3.54/10</f>
        <v>0.35399999999999998</v>
      </c>
      <c r="FE44">
        <f>5.3</f>
        <v>5.3</v>
      </c>
      <c r="FF44" s="7">
        <f t="shared" si="111"/>
        <v>17.664999999999999</v>
      </c>
      <c r="FG44" s="1">
        <f t="shared" si="112"/>
        <v>2.4729999999999999</v>
      </c>
      <c r="FH44">
        <v>2.63E-2</v>
      </c>
      <c r="FI44">
        <v>3.4000000000000002E-2</v>
      </c>
      <c r="FJ44">
        <v>4.41E-2</v>
      </c>
      <c r="FK44">
        <v>4.0899999999999999E-2</v>
      </c>
      <c r="FL44" s="1">
        <f t="shared" si="113"/>
        <v>2.5666666666666672E-3</v>
      </c>
    </row>
    <row r="45" spans="1:168">
      <c r="A45" t="s">
        <v>121</v>
      </c>
      <c r="B45" s="1" t="s">
        <v>63</v>
      </c>
      <c r="C45" s="1">
        <v>517785</v>
      </c>
      <c r="D45" s="6">
        <f t="shared" si="117"/>
        <v>533119.19999999995</v>
      </c>
      <c r="E45" s="6">
        <f t="shared" si="118"/>
        <v>543342</v>
      </c>
      <c r="F45" s="1">
        <v>568899</v>
      </c>
      <c r="G45" s="1">
        <f t="shared" si="119"/>
        <v>5111.3999999999996</v>
      </c>
      <c r="H45" s="1">
        <v>1.31</v>
      </c>
      <c r="I45" s="1">
        <v>1.28</v>
      </c>
      <c r="J45" s="1">
        <v>1.22</v>
      </c>
      <c r="K45">
        <v>232454</v>
      </c>
      <c r="L45">
        <f t="shared" si="24"/>
        <v>0.44893923153432408</v>
      </c>
      <c r="M45" s="1">
        <v>213839</v>
      </c>
      <c r="N45">
        <f t="shared" si="25"/>
        <v>0.37588218646895144</v>
      </c>
      <c r="O45">
        <f t="shared" si="26"/>
        <v>-0.16273259259541231</v>
      </c>
      <c r="P45">
        <f t="shared" si="27"/>
        <v>0.12721478345620552</v>
      </c>
      <c r="Q45">
        <f t="shared" si="28"/>
        <v>0.14711434635538592</v>
      </c>
      <c r="R45">
        <f t="shared" si="29"/>
        <v>560.63543900729451</v>
      </c>
      <c r="S45">
        <f t="shared" si="30"/>
        <v>537.3313086823706</v>
      </c>
      <c r="T45">
        <f t="shared" si="31"/>
        <v>719.86618637658489</v>
      </c>
      <c r="U45">
        <v>92297.113769999996</v>
      </c>
      <c r="V45">
        <f t="shared" si="32"/>
        <v>7.7994441751500169E-3</v>
      </c>
      <c r="W45">
        <f t="shared" si="33"/>
        <v>493.54740057549759</v>
      </c>
      <c r="X45">
        <v>79429.064259999999</v>
      </c>
      <c r="Y45">
        <f t="shared" si="34"/>
        <v>6.213687712094137E-3</v>
      </c>
      <c r="Z45" s="1">
        <v>29694</v>
      </c>
      <c r="AA45" s="1">
        <f t="shared" si="35"/>
        <v>5.7348127118398561E-2</v>
      </c>
      <c r="AB45" s="1">
        <v>307761</v>
      </c>
      <c r="AC45" s="1">
        <f t="shared" si="120"/>
        <v>0.59437990671803931</v>
      </c>
      <c r="AD45" s="1">
        <v>61.278341249999997</v>
      </c>
      <c r="AE45" s="1">
        <v>39419</v>
      </c>
      <c r="AF45">
        <f t="shared" si="114"/>
        <v>1.3275072405199704</v>
      </c>
      <c r="AG45">
        <f t="shared" si="36"/>
        <v>0.12808315543554902</v>
      </c>
      <c r="AH45">
        <f t="shared" si="116"/>
        <v>9.6996735648101334E-3</v>
      </c>
      <c r="AI45">
        <v>176452</v>
      </c>
      <c r="AJ45">
        <f t="shared" si="37"/>
        <v>231152.12</v>
      </c>
      <c r="AK45">
        <f t="shared" si="121"/>
        <v>0.4335843091001037</v>
      </c>
      <c r="AL45">
        <f t="shared" si="38"/>
        <v>40.567501634999999</v>
      </c>
      <c r="AM45">
        <f t="shared" si="39"/>
        <v>1.0687971692247982E-2</v>
      </c>
      <c r="AN45">
        <v>232.33</v>
      </c>
      <c r="AO45">
        <f t="shared" si="40"/>
        <v>232330</v>
      </c>
      <c r="AP45">
        <f t="shared" si="41"/>
        <v>297382.40000000002</v>
      </c>
      <c r="AQ45">
        <f t="shared" si="122"/>
        <v>0.5473208402810753</v>
      </c>
      <c r="AR45">
        <f t="shared" si="42"/>
        <v>51.759606732800002</v>
      </c>
      <c r="AS45">
        <f t="shared" si="43"/>
        <v>1.0574285139114837E-2</v>
      </c>
      <c r="AT45" s="1">
        <v>34503</v>
      </c>
      <c r="AU45" s="1">
        <f t="shared" si="44"/>
        <v>6.0648726751145632E-2</v>
      </c>
      <c r="AV45" s="1">
        <f t="shared" si="45"/>
        <v>5.755374758678327E-2</v>
      </c>
      <c r="AW45" s="1">
        <v>287487</v>
      </c>
      <c r="AX45" s="1">
        <f t="shared" si="46"/>
        <v>350734.14</v>
      </c>
      <c r="AY45" s="1">
        <f t="shared" si="123"/>
        <v>0.61651389789751787</v>
      </c>
      <c r="AZ45" s="1">
        <f t="shared" si="47"/>
        <v>3.7238794463451533E-2</v>
      </c>
      <c r="BA45" s="1">
        <f t="shared" si="48"/>
        <v>60.4858519474</v>
      </c>
      <c r="BB45" s="1">
        <v>38324</v>
      </c>
      <c r="BC45" s="1">
        <f t="shared" si="49"/>
        <v>46755.28</v>
      </c>
      <c r="BD45" s="1">
        <f t="shared" si="50"/>
        <v>1.3551076717966553</v>
      </c>
      <c r="BE45" s="1">
        <f t="shared" si="51"/>
        <v>0.13330689735535867</v>
      </c>
      <c r="BF45" s="1">
        <f t="shared" si="52"/>
        <v>1.0192695945386595E-2</v>
      </c>
      <c r="BG45" s="1">
        <v>17749</v>
      </c>
      <c r="BH45" s="1">
        <f t="shared" si="53"/>
        <v>3.4278706412893385E-2</v>
      </c>
      <c r="BI45" s="1">
        <v>848931.31299999997</v>
      </c>
      <c r="BJ45" s="1">
        <f t="shared" si="124"/>
        <v>1.6395440443427292</v>
      </c>
      <c r="BK45" s="1">
        <v>101.2013381</v>
      </c>
      <c r="BL45" s="1">
        <v>32007.442999999999</v>
      </c>
      <c r="BM45">
        <f t="shared" si="125"/>
        <v>1.8033378218491183</v>
      </c>
      <c r="BN45">
        <f t="shared" si="126"/>
        <v>3.7703218752634229E-2</v>
      </c>
      <c r="BO45">
        <f t="shared" si="54"/>
        <v>1.6200813893613223E-2</v>
      </c>
      <c r="BP45">
        <v>520060</v>
      </c>
      <c r="BQ45">
        <f t="shared" si="55"/>
        <v>681278.6</v>
      </c>
      <c r="BR45">
        <f t="shared" si="127"/>
        <v>1.2779104560481034</v>
      </c>
      <c r="BS45">
        <f t="shared" si="56"/>
        <v>59.525235619600004</v>
      </c>
      <c r="BT45">
        <f t="shared" si="57"/>
        <v>2.1468381313342052E-2</v>
      </c>
      <c r="BU45">
        <v>629.04999999999995</v>
      </c>
      <c r="BV45">
        <f t="shared" si="128"/>
        <v>629050</v>
      </c>
      <c r="BW45">
        <f t="shared" si="58"/>
        <v>805184</v>
      </c>
      <c r="BX45">
        <f t="shared" si="129"/>
        <v>1.4819101045014005</v>
      </c>
      <c r="BY45">
        <f t="shared" si="59"/>
        <v>76.247206297600002</v>
      </c>
      <c r="BZ45">
        <f t="shared" si="60"/>
        <v>1.9435598711871047E-2</v>
      </c>
      <c r="CA45" s="1">
        <v>16779</v>
      </c>
      <c r="CB45" s="1">
        <f t="shared" si="61"/>
        <v>2.9493811731080562E-2</v>
      </c>
      <c r="CC45" s="1">
        <f t="shared" si="62"/>
        <v>-0.13958795948067229</v>
      </c>
      <c r="CD45" s="1">
        <v>721360</v>
      </c>
      <c r="CE45" s="1">
        <f t="shared" si="63"/>
        <v>880059.2</v>
      </c>
      <c r="CF45">
        <f t="shared" si="130"/>
        <v>1.5469515678529933</v>
      </c>
      <c r="CG45">
        <f t="shared" si="64"/>
        <v>-5.6474528274630745E-2</v>
      </c>
      <c r="CH45">
        <f t="shared" si="65"/>
        <v>90.917938902799989</v>
      </c>
      <c r="CI45" s="1">
        <v>30782</v>
      </c>
      <c r="CJ45" s="1">
        <f t="shared" si="66"/>
        <v>37554.04</v>
      </c>
      <c r="CK45">
        <f t="shared" si="67"/>
        <v>2.2381572203349425</v>
      </c>
      <c r="CL45">
        <f t="shared" si="68"/>
        <v>4.2672174780969283E-2</v>
      </c>
      <c r="CM45">
        <f t="shared" si="69"/>
        <v>1.7014811230012958E-2</v>
      </c>
      <c r="CN45" s="1">
        <v>36731</v>
      </c>
      <c r="CO45" s="1">
        <f t="shared" si="70"/>
        <v>7.0938710082370099E-2</v>
      </c>
      <c r="CP45" s="1">
        <v>371579221</v>
      </c>
      <c r="CQ45" s="1">
        <f t="shared" si="131"/>
        <v>717.63226242552412</v>
      </c>
      <c r="CR45" s="1">
        <v>108123.0123</v>
      </c>
      <c r="CS45" s="1">
        <v>47119501</v>
      </c>
      <c r="CT45">
        <f t="shared" si="71"/>
        <v>1282.8265225558791</v>
      </c>
      <c r="CU45">
        <f t="shared" si="72"/>
        <v>0.12680876200017654</v>
      </c>
      <c r="CV45">
        <f t="shared" si="73"/>
        <v>6.6371834002771687E-3</v>
      </c>
      <c r="CW45" s="1">
        <v>26957</v>
      </c>
      <c r="CX45" s="1">
        <f t="shared" si="74"/>
        <v>4.7384509376884119E-2</v>
      </c>
      <c r="CY45" s="1">
        <f t="shared" si="75"/>
        <v>-0.33203593183659735</v>
      </c>
      <c r="CZ45" s="1">
        <v>229137565</v>
      </c>
      <c r="DA45" s="1">
        <f t="shared" si="132"/>
        <v>279547829.30000001</v>
      </c>
      <c r="DB45" s="1">
        <f t="shared" si="133"/>
        <v>491.38393510974709</v>
      </c>
      <c r="DC45" s="1">
        <f t="shared" si="76"/>
        <v>-0.31527056288004762</v>
      </c>
      <c r="DD45" s="1">
        <f t="shared" si="77"/>
        <v>93954.54819500001</v>
      </c>
      <c r="DE45" s="1">
        <v>34390127</v>
      </c>
      <c r="DF45" s="1">
        <f t="shared" si="78"/>
        <v>41955954.939999998</v>
      </c>
      <c r="DG45">
        <f t="shared" si="79"/>
        <v>1556.402972882739</v>
      </c>
      <c r="DH45">
        <f t="shared" si="80"/>
        <v>0.15008506789360354</v>
      </c>
      <c r="DI45">
        <f t="shared" si="81"/>
        <v>5.2300175409272752E-3</v>
      </c>
      <c r="DJ45" s="1">
        <v>6311145</v>
      </c>
      <c r="DK45">
        <f t="shared" si="134"/>
        <v>12.18873663779368</v>
      </c>
      <c r="DL45">
        <v>1889.3069949999999</v>
      </c>
      <c r="DM45" s="1">
        <v>1029462</v>
      </c>
      <c r="DN45" s="3">
        <f t="shared" si="82"/>
        <v>6.451432546457957E-3</v>
      </c>
      <c r="DO45" s="1">
        <v>4087936</v>
      </c>
      <c r="DP45" s="1">
        <f t="shared" si="83"/>
        <v>4987281.92</v>
      </c>
      <c r="DQ45" s="3">
        <f t="shared" si="135"/>
        <v>8.766550688259251</v>
      </c>
      <c r="DR45" s="3">
        <f t="shared" si="84"/>
        <v>1905.8896083399998</v>
      </c>
      <c r="DS45" s="3">
        <f t="shared" si="85"/>
        <v>917101.16479280649</v>
      </c>
      <c r="DT45" s="3">
        <f t="shared" si="86"/>
        <v>4.5997158754093742E-3</v>
      </c>
      <c r="DU45" s="3">
        <f t="shared" si="87"/>
        <v>0.89085480065588285</v>
      </c>
      <c r="DV45" s="3">
        <f t="shared" si="88"/>
        <v>474.32560089885311</v>
      </c>
      <c r="DW45" s="3">
        <f t="shared" si="89"/>
        <v>0.10310987936971522</v>
      </c>
      <c r="DX45" s="3">
        <f t="shared" si="90"/>
        <v>379047058.31300002</v>
      </c>
      <c r="DY45" s="3">
        <f t="shared" si="91"/>
        <v>732.05492301437857</v>
      </c>
      <c r="DZ45" s="3">
        <f t="shared" si="92"/>
        <v>377890366</v>
      </c>
      <c r="EA45" s="3">
        <f t="shared" si="93"/>
        <v>912430.72</v>
      </c>
      <c r="EB45" s="3">
        <f t="shared" si="94"/>
        <v>1.7114947651482071</v>
      </c>
      <c r="EC45" s="3">
        <f t="shared" si="95"/>
        <v>1102566.3999999999</v>
      </c>
      <c r="ED45" s="3">
        <f t="shared" si="96"/>
        <v>2.0292309447824759</v>
      </c>
      <c r="EE45" s="9">
        <f t="shared" si="97"/>
        <v>285765904.56</v>
      </c>
      <c r="EF45" s="13">
        <f t="shared" si="98"/>
        <v>502.31395126375685</v>
      </c>
      <c r="EG45" s="14">
        <f t="shared" si="99"/>
        <v>-0.31383023940965876</v>
      </c>
      <c r="EH45" s="9">
        <f t="shared" si="100"/>
        <v>284535111.22000003</v>
      </c>
      <c r="EI45" s="10">
        <v>840684</v>
      </c>
      <c r="EJ45" s="10">
        <f t="shared" si="136"/>
        <v>1101296.04</v>
      </c>
      <c r="EK45" s="10">
        <f t="shared" si="101"/>
        <v>2.0657594774301886</v>
      </c>
      <c r="EL45" s="10">
        <v>1272000</v>
      </c>
      <c r="EM45" s="10">
        <f t="shared" si="137"/>
        <v>1628160</v>
      </c>
      <c r="EN45" s="10">
        <f t="shared" si="102"/>
        <v>2.9965656989520411</v>
      </c>
      <c r="EO45" s="11">
        <v>7281681</v>
      </c>
      <c r="EP45" s="11">
        <f t="shared" si="138"/>
        <v>8883650.8200000003</v>
      </c>
      <c r="EQ45" s="11">
        <f t="shared" si="103"/>
        <v>15.615514915652867</v>
      </c>
      <c r="ER45" s="10">
        <f t="shared" si="104"/>
        <v>20.677840092035098</v>
      </c>
      <c r="ES45" s="10">
        <f t="shared" si="115"/>
        <v>5.4562517320165096</v>
      </c>
      <c r="ET45" s="12">
        <v>331338</v>
      </c>
      <c r="EU45" s="12">
        <f t="shared" si="139"/>
        <v>434052.78</v>
      </c>
      <c r="EV45" s="12">
        <f t="shared" si="105"/>
        <v>0.81417585410542348</v>
      </c>
      <c r="EW45" s="10">
        <v>70000</v>
      </c>
      <c r="EX45" s="10">
        <f t="shared" si="140"/>
        <v>89600</v>
      </c>
      <c r="EY45" s="10">
        <f t="shared" si="106"/>
        <v>0.16490534506811547</v>
      </c>
      <c r="EZ45" s="3">
        <f t="shared" si="107"/>
        <v>381937.62124115566</v>
      </c>
      <c r="FA45" s="3">
        <f t="shared" si="108"/>
        <v>0.67136279241333818</v>
      </c>
      <c r="FB45" s="3">
        <f t="shared" si="109"/>
        <v>1.6504439915868772</v>
      </c>
      <c r="FC45" s="1">
        <f t="shared" si="110"/>
        <v>0.51829999999999998</v>
      </c>
      <c r="FD45">
        <f>5.26/10</f>
        <v>0.52600000000000002</v>
      </c>
      <c r="FE45">
        <f>6</f>
        <v>6</v>
      </c>
      <c r="FF45" s="7">
        <f t="shared" si="111"/>
        <v>19.685000000000002</v>
      </c>
      <c r="FG45" s="1">
        <f t="shared" si="112"/>
        <v>2.7370000000000001</v>
      </c>
      <c r="FH45">
        <v>2.63E-2</v>
      </c>
      <c r="FI45">
        <v>3.4000000000000002E-2</v>
      </c>
      <c r="FJ45">
        <v>4.41E-2</v>
      </c>
      <c r="FK45">
        <v>4.0899999999999999E-2</v>
      </c>
      <c r="FL45" s="1">
        <f t="shared" si="113"/>
        <v>2.5666666666666672E-3</v>
      </c>
    </row>
    <row r="46" spans="1:168">
      <c r="A46" t="s">
        <v>121</v>
      </c>
      <c r="B46" s="1" t="s">
        <v>64</v>
      </c>
      <c r="C46" s="1">
        <v>286721</v>
      </c>
      <c r="D46" s="6">
        <f t="shared" si="117"/>
        <v>293685.2</v>
      </c>
      <c r="E46" s="6">
        <f t="shared" si="118"/>
        <v>298328</v>
      </c>
      <c r="F46" s="1">
        <v>309935</v>
      </c>
      <c r="G46" s="1">
        <f t="shared" si="119"/>
        <v>2321.4</v>
      </c>
      <c r="H46" s="1">
        <v>1.31</v>
      </c>
      <c r="I46" s="1">
        <v>1.28</v>
      </c>
      <c r="J46" s="1">
        <v>1.22</v>
      </c>
      <c r="K46">
        <v>123200</v>
      </c>
      <c r="L46">
        <f t="shared" si="24"/>
        <v>0.42968600137415813</v>
      </c>
      <c r="M46" s="1">
        <v>111074</v>
      </c>
      <c r="N46">
        <f t="shared" si="25"/>
        <v>0.35837836965815412</v>
      </c>
      <c r="O46">
        <f t="shared" si="26"/>
        <v>-0.16595288533477587</v>
      </c>
      <c r="P46">
        <f t="shared" si="27"/>
        <v>0.15044979456484567</v>
      </c>
      <c r="Q46">
        <f t="shared" si="28"/>
        <v>0.1368953319743613</v>
      </c>
      <c r="R46">
        <f t="shared" si="29"/>
        <v>672.54625916457132</v>
      </c>
      <c r="S46">
        <f t="shared" si="30"/>
        <v>582.58373309168076</v>
      </c>
      <c r="T46">
        <f t="shared" si="31"/>
        <v>741.42323916629755</v>
      </c>
      <c r="U46">
        <v>92297.113769999996</v>
      </c>
      <c r="V46">
        <f t="shared" si="32"/>
        <v>8.0330056800463866E-3</v>
      </c>
      <c r="W46">
        <f t="shared" si="33"/>
        <v>616.67395718457101</v>
      </c>
      <c r="X46">
        <v>79429.064259999999</v>
      </c>
      <c r="Y46">
        <f t="shared" si="34"/>
        <v>7.7638325835738733E-3</v>
      </c>
      <c r="Z46" s="1">
        <v>15408</v>
      </c>
      <c r="AA46" s="1">
        <f t="shared" si="35"/>
        <v>5.373865186017069E-2</v>
      </c>
      <c r="AB46" s="1">
        <v>172807</v>
      </c>
      <c r="AC46" s="1">
        <f t="shared" si="120"/>
        <v>0.60270088343720896</v>
      </c>
      <c r="AD46" s="1">
        <v>61.278341249999997</v>
      </c>
      <c r="AE46" s="1">
        <v>20132</v>
      </c>
      <c r="AF46">
        <f t="shared" si="114"/>
        <v>1.3065939771547248</v>
      </c>
      <c r="AG46">
        <f t="shared" si="36"/>
        <v>0.11649991030455942</v>
      </c>
      <c r="AH46">
        <f t="shared" si="116"/>
        <v>9.8354634140363426E-3</v>
      </c>
      <c r="AI46">
        <v>103146</v>
      </c>
      <c r="AJ46">
        <f t="shared" si="37"/>
        <v>135121.26</v>
      </c>
      <c r="AK46">
        <f t="shared" si="121"/>
        <v>0.46008876170811469</v>
      </c>
      <c r="AL46">
        <f t="shared" si="38"/>
        <v>40.567501634999999</v>
      </c>
      <c r="AM46">
        <f t="shared" si="39"/>
        <v>1.1341313691133711E-2</v>
      </c>
      <c r="AN46">
        <v>139.69</v>
      </c>
      <c r="AO46">
        <f t="shared" si="40"/>
        <v>139690</v>
      </c>
      <c r="AP46">
        <f t="shared" si="41"/>
        <v>178803.20000000001</v>
      </c>
      <c r="AQ46">
        <f t="shared" si="122"/>
        <v>0.5993510498511706</v>
      </c>
      <c r="AR46">
        <f t="shared" si="42"/>
        <v>51.759606732800002</v>
      </c>
      <c r="AS46">
        <f t="shared" si="43"/>
        <v>1.1579513208924027E-2</v>
      </c>
      <c r="AT46" s="1">
        <v>20528</v>
      </c>
      <c r="AU46" s="1">
        <f t="shared" si="44"/>
        <v>6.6233242454062952E-2</v>
      </c>
      <c r="AV46" s="1">
        <f t="shared" si="45"/>
        <v>0.23250658811470554</v>
      </c>
      <c r="AW46" s="1">
        <v>172060</v>
      </c>
      <c r="AX46" s="1">
        <f t="shared" si="46"/>
        <v>209913.19999999998</v>
      </c>
      <c r="AY46" s="1">
        <f t="shared" si="123"/>
        <v>0.67728136544759376</v>
      </c>
      <c r="AZ46" s="1">
        <f t="shared" si="47"/>
        <v>0.1237437741671318</v>
      </c>
      <c r="BA46" s="1">
        <f t="shared" si="48"/>
        <v>60.4858519474</v>
      </c>
      <c r="BB46" s="1">
        <v>22045</v>
      </c>
      <c r="BC46" s="1">
        <f t="shared" si="49"/>
        <v>26894.899999999998</v>
      </c>
      <c r="BD46" s="1">
        <f t="shared" si="50"/>
        <v>1.3101568589243959</v>
      </c>
      <c r="BE46" s="1">
        <f t="shared" si="51"/>
        <v>0.12812391026386144</v>
      </c>
      <c r="BF46" s="1">
        <f t="shared" si="52"/>
        <v>1.1197351837526806E-2</v>
      </c>
      <c r="BG46" s="1">
        <v>7824</v>
      </c>
      <c r="BH46" s="1">
        <f t="shared" si="53"/>
        <v>2.7287851256099133E-2</v>
      </c>
      <c r="BI46" s="1">
        <v>221832.557</v>
      </c>
      <c r="BJ46" s="1">
        <f t="shared" si="124"/>
        <v>0.77368786032414782</v>
      </c>
      <c r="BK46" s="1">
        <v>101.2013381</v>
      </c>
      <c r="BL46" s="1">
        <v>12670.9</v>
      </c>
      <c r="BM46">
        <f t="shared" si="125"/>
        <v>1.6194913087934559</v>
      </c>
      <c r="BN46">
        <f t="shared" si="126"/>
        <v>5.7119208160234115E-2</v>
      </c>
      <c r="BO46">
        <f t="shared" si="54"/>
        <v>7.6450358745221748E-3</v>
      </c>
      <c r="BP46">
        <v>107357</v>
      </c>
      <c r="BQ46">
        <f t="shared" si="55"/>
        <v>140637.67000000001</v>
      </c>
      <c r="BR46">
        <f t="shared" si="127"/>
        <v>0.47887217333389631</v>
      </c>
      <c r="BS46">
        <f t="shared" si="56"/>
        <v>59.525235619600004</v>
      </c>
      <c r="BT46">
        <f t="shared" si="57"/>
        <v>8.0448597699664878E-3</v>
      </c>
      <c r="BU46">
        <v>164.27</v>
      </c>
      <c r="BV46">
        <f t="shared" si="128"/>
        <v>164270</v>
      </c>
      <c r="BW46">
        <f t="shared" si="58"/>
        <v>210265.60000000001</v>
      </c>
      <c r="BX46">
        <f t="shared" si="129"/>
        <v>0.70481349387251613</v>
      </c>
      <c r="BY46">
        <f t="shared" si="59"/>
        <v>76.247206297600002</v>
      </c>
      <c r="BZ46">
        <f t="shared" si="60"/>
        <v>9.243794338136966E-3</v>
      </c>
      <c r="CA46" s="1">
        <v>7558</v>
      </c>
      <c r="CB46" s="1">
        <f t="shared" si="61"/>
        <v>2.4385758304160551E-2</v>
      </c>
      <c r="CC46" s="1">
        <f t="shared" si="62"/>
        <v>-0.10635109832218587</v>
      </c>
      <c r="CD46" s="1">
        <v>227107</v>
      </c>
      <c r="CE46" s="1">
        <f t="shared" si="63"/>
        <v>277070.53999999998</v>
      </c>
      <c r="CF46">
        <f t="shared" si="130"/>
        <v>0.89396337941826509</v>
      </c>
      <c r="CG46">
        <f t="shared" si="64"/>
        <v>0.15545742057233014</v>
      </c>
      <c r="CH46">
        <f t="shared" si="65"/>
        <v>90.917938902799989</v>
      </c>
      <c r="CI46" s="1">
        <v>13082</v>
      </c>
      <c r="CJ46" s="1">
        <f t="shared" si="66"/>
        <v>15960.039999999999</v>
      </c>
      <c r="CK46">
        <f t="shared" si="67"/>
        <v>2.1116750463085472</v>
      </c>
      <c r="CL46">
        <f t="shared" si="68"/>
        <v>5.7602803964651027E-2</v>
      </c>
      <c r="CM46">
        <f t="shared" si="69"/>
        <v>9.8326401830775966E-3</v>
      </c>
      <c r="CN46" s="1">
        <v>24097</v>
      </c>
      <c r="CO46" s="1">
        <f t="shared" si="70"/>
        <v>8.4043373174619226E-2</v>
      </c>
      <c r="CP46" s="1">
        <v>212186973</v>
      </c>
      <c r="CQ46" s="1">
        <f t="shared" si="131"/>
        <v>740.04685042253618</v>
      </c>
      <c r="CR46" s="1">
        <v>108123.0123</v>
      </c>
      <c r="CS46" s="1">
        <v>31798139</v>
      </c>
      <c r="CT46">
        <f t="shared" si="71"/>
        <v>1319.5891189774661</v>
      </c>
      <c r="CU46">
        <f t="shared" si="72"/>
        <v>0.14985905378837747</v>
      </c>
      <c r="CV46">
        <f t="shared" si="73"/>
        <v>6.8444897592123055E-3</v>
      </c>
      <c r="CW46" s="1">
        <v>17158</v>
      </c>
      <c r="CX46" s="1">
        <f t="shared" si="74"/>
        <v>5.5359994837627241E-2</v>
      </c>
      <c r="CY46" s="1">
        <f t="shared" si="75"/>
        <v>-0.3412925642262804</v>
      </c>
      <c r="CZ46" s="1">
        <v>156263819</v>
      </c>
      <c r="DA46" s="1">
        <f t="shared" si="132"/>
        <v>190641859.18000001</v>
      </c>
      <c r="DB46" s="1">
        <f t="shared" si="133"/>
        <v>615.1027124397051</v>
      </c>
      <c r="DC46" s="1">
        <f t="shared" si="76"/>
        <v>-0.16883274067242249</v>
      </c>
      <c r="DD46" s="1">
        <f t="shared" si="77"/>
        <v>93954.54819500001</v>
      </c>
      <c r="DE46" s="1">
        <v>21570134</v>
      </c>
      <c r="DF46" s="1">
        <f t="shared" si="78"/>
        <v>26315563.48</v>
      </c>
      <c r="DG46">
        <f t="shared" si="79"/>
        <v>1533.7197505536776</v>
      </c>
      <c r="DH46">
        <f t="shared" si="80"/>
        <v>0.13803664941786684</v>
      </c>
      <c r="DI46">
        <f t="shared" si="81"/>
        <v>6.5468114557166177E-3</v>
      </c>
      <c r="DJ46" s="1">
        <v>933454</v>
      </c>
      <c r="DK46">
        <f t="shared" si="134"/>
        <v>3.2556178305739727</v>
      </c>
      <c r="DL46">
        <v>1889.3069949999999</v>
      </c>
      <c r="DM46" s="1">
        <v>292356</v>
      </c>
      <c r="DN46" s="3">
        <f t="shared" si="82"/>
        <v>1.7231809542810552E-3</v>
      </c>
      <c r="DO46" s="1">
        <v>1160226</v>
      </c>
      <c r="DP46" s="1">
        <f t="shared" si="83"/>
        <v>1415475.72</v>
      </c>
      <c r="DQ46" s="3">
        <f t="shared" si="135"/>
        <v>4.5670083081936532</v>
      </c>
      <c r="DR46" s="3">
        <f t="shared" si="84"/>
        <v>1905.8896083399998</v>
      </c>
      <c r="DS46" s="3">
        <f t="shared" si="85"/>
        <v>242092.79762461322</v>
      </c>
      <c r="DT46" s="3">
        <f t="shared" si="86"/>
        <v>2.3962606691430815E-3</v>
      </c>
      <c r="DU46" s="3">
        <f t="shared" si="87"/>
        <v>0.82807535205233762</v>
      </c>
      <c r="DV46" s="3">
        <f t="shared" si="88"/>
        <v>476.6094644537207</v>
      </c>
      <c r="DW46" s="3">
        <f t="shared" si="89"/>
        <v>0.1078735893165917</v>
      </c>
      <c r="DX46" s="3">
        <f t="shared" si="90"/>
        <v>213515066.55700001</v>
      </c>
      <c r="DY46" s="3">
        <f t="shared" si="91"/>
        <v>744.67885699687156</v>
      </c>
      <c r="DZ46" s="3">
        <f t="shared" si="92"/>
        <v>213120427</v>
      </c>
      <c r="EA46" s="3">
        <f t="shared" si="93"/>
        <v>275758.93000000005</v>
      </c>
      <c r="EB46" s="3">
        <f t="shared" si="94"/>
        <v>0.93896093504201106</v>
      </c>
      <c r="EC46" s="3">
        <f t="shared" si="95"/>
        <v>389068.80000000005</v>
      </c>
      <c r="ED46" s="3">
        <f t="shared" si="96"/>
        <v>1.3041645437236868</v>
      </c>
      <c r="EE46" s="9">
        <f t="shared" si="97"/>
        <v>192544318.64000002</v>
      </c>
      <c r="EF46" s="13">
        <f t="shared" si="98"/>
        <v>621.24096549276464</v>
      </c>
      <c r="EG46" s="14">
        <f t="shared" si="99"/>
        <v>-0.16575989816859468</v>
      </c>
      <c r="EH46" s="9">
        <f t="shared" si="100"/>
        <v>192057334.90000001</v>
      </c>
      <c r="EI46" s="10">
        <v>510120</v>
      </c>
      <c r="EJ46" s="10">
        <f t="shared" si="136"/>
        <v>668257.20000000007</v>
      </c>
      <c r="EK46" s="10">
        <f t="shared" si="101"/>
        <v>2.2754200756456235</v>
      </c>
      <c r="EL46" s="10">
        <v>1253000</v>
      </c>
      <c r="EM46" s="10">
        <f t="shared" si="137"/>
        <v>1603840</v>
      </c>
      <c r="EN46" s="10">
        <f t="shared" si="102"/>
        <v>5.3760961089807191</v>
      </c>
      <c r="EO46" s="11">
        <v>3555874</v>
      </c>
      <c r="EP46" s="11">
        <f t="shared" si="138"/>
        <v>4338166.28</v>
      </c>
      <c r="EQ46" s="11">
        <f t="shared" si="103"/>
        <v>13.997019633148886</v>
      </c>
      <c r="ER46" s="10">
        <f t="shared" si="104"/>
        <v>21.64853581777523</v>
      </c>
      <c r="ES46" s="10">
        <f t="shared" si="115"/>
        <v>2.7048622555865922</v>
      </c>
      <c r="ET46" s="12">
        <v>59538</v>
      </c>
      <c r="EU46" s="12">
        <f t="shared" si="139"/>
        <v>77994.78</v>
      </c>
      <c r="EV46" s="12">
        <f t="shared" si="105"/>
        <v>0.26557272889474853</v>
      </c>
      <c r="EW46" s="10">
        <v>13000</v>
      </c>
      <c r="EX46" s="10">
        <f t="shared" si="140"/>
        <v>16640</v>
      </c>
      <c r="EY46" s="10">
        <f t="shared" si="106"/>
        <v>5.577753345311201E-2</v>
      </c>
      <c r="EZ46" s="3">
        <f t="shared" si="107"/>
        <v>35163.209322625698</v>
      </c>
      <c r="FA46" s="3">
        <f t="shared" si="108"/>
        <v>0.113453496128626</v>
      </c>
      <c r="FB46" s="3">
        <f t="shared" si="109"/>
        <v>0.43480375847648656</v>
      </c>
      <c r="FC46" s="1">
        <f t="shared" si="110"/>
        <v>0.49530000000000002</v>
      </c>
      <c r="FD46">
        <f>5.03/10</f>
        <v>0.503</v>
      </c>
      <c r="FE46">
        <f>5.7</f>
        <v>5.7</v>
      </c>
      <c r="FF46" s="7">
        <f t="shared" si="111"/>
        <v>18.692499999999999</v>
      </c>
      <c r="FG46" s="1">
        <f t="shared" si="112"/>
        <v>2.5985</v>
      </c>
      <c r="FH46">
        <v>2.63E-2</v>
      </c>
      <c r="FI46">
        <v>3.4000000000000002E-2</v>
      </c>
      <c r="FJ46">
        <v>4.41E-2</v>
      </c>
      <c r="FK46">
        <v>4.0899999999999999E-2</v>
      </c>
      <c r="FL46" s="1">
        <f t="shared" si="113"/>
        <v>2.5666666666666672E-3</v>
      </c>
    </row>
    <row r="47" spans="1:168">
      <c r="A47" t="s">
        <v>121</v>
      </c>
      <c r="B47" s="1" t="s">
        <v>65</v>
      </c>
      <c r="C47" s="1">
        <v>204596</v>
      </c>
      <c r="D47" s="6">
        <f t="shared" si="117"/>
        <v>205292.3</v>
      </c>
      <c r="E47" s="6">
        <f t="shared" si="118"/>
        <v>205756.5</v>
      </c>
      <c r="F47" s="1">
        <v>206917</v>
      </c>
      <c r="G47" s="1">
        <f t="shared" si="119"/>
        <v>232.1</v>
      </c>
      <c r="H47" s="1">
        <v>1.31</v>
      </c>
      <c r="I47" s="1">
        <v>1.28</v>
      </c>
      <c r="J47" s="1">
        <v>1.22</v>
      </c>
      <c r="K47">
        <v>80274</v>
      </c>
      <c r="L47">
        <f t="shared" si="24"/>
        <v>0.39235371170501865</v>
      </c>
      <c r="M47" s="1">
        <v>61017</v>
      </c>
      <c r="N47">
        <f t="shared" si="25"/>
        <v>0.29488635539854147</v>
      </c>
      <c r="O47">
        <f t="shared" si="26"/>
        <v>-0.24841706194882535</v>
      </c>
      <c r="P47">
        <f t="shared" si="27"/>
        <v>0.17997590701785526</v>
      </c>
      <c r="Q47">
        <f t="shared" si="28"/>
        <v>0.14394835042165968</v>
      </c>
      <c r="R47">
        <f t="shared" si="29"/>
        <v>607.79680814737162</v>
      </c>
      <c r="S47">
        <f t="shared" si="30"/>
        <v>440.46125431463173</v>
      </c>
      <c r="T47">
        <f t="shared" si="31"/>
        <v>333.62606519189035</v>
      </c>
      <c r="U47">
        <v>92297.113769999996</v>
      </c>
      <c r="V47">
        <f t="shared" si="32"/>
        <v>3.6146966201269369E-3</v>
      </c>
      <c r="W47">
        <f t="shared" si="33"/>
        <v>242.29560132806873</v>
      </c>
      <c r="X47">
        <v>79429.064259999999</v>
      </c>
      <c r="Y47">
        <f t="shared" si="34"/>
        <v>3.0504652621230403E-3</v>
      </c>
      <c r="Z47" s="1">
        <v>7551</v>
      </c>
      <c r="AA47" s="1">
        <f t="shared" si="35"/>
        <v>3.690687989990029E-2</v>
      </c>
      <c r="AB47" s="1">
        <v>85531</v>
      </c>
      <c r="AC47" s="1">
        <f t="shared" si="120"/>
        <v>0.4180482511877065</v>
      </c>
      <c r="AD47" s="1">
        <v>61.278341249999997</v>
      </c>
      <c r="AE47" s="1">
        <v>9985</v>
      </c>
      <c r="AF47">
        <f t="shared" si="114"/>
        <v>1.3223414117335452</v>
      </c>
      <c r="AG47">
        <f t="shared" si="36"/>
        <v>0.11674129847657574</v>
      </c>
      <c r="AH47">
        <f t="shared" si="116"/>
        <v>6.8221208776225893E-3</v>
      </c>
      <c r="AI47">
        <v>44382</v>
      </c>
      <c r="AJ47">
        <f t="shared" si="37"/>
        <v>58140.420000000006</v>
      </c>
      <c r="AK47">
        <f t="shared" si="121"/>
        <v>0.28320799172691818</v>
      </c>
      <c r="AL47">
        <f t="shared" si="38"/>
        <v>40.567501634999999</v>
      </c>
      <c r="AM47">
        <f t="shared" si="39"/>
        <v>6.9811543800512915E-3</v>
      </c>
      <c r="AN47">
        <v>66.260000000000005</v>
      </c>
      <c r="AO47">
        <f t="shared" si="40"/>
        <v>66260</v>
      </c>
      <c r="AP47">
        <f t="shared" si="41"/>
        <v>84812.800000000003</v>
      </c>
      <c r="AQ47">
        <f t="shared" si="122"/>
        <v>0.4121998575986664</v>
      </c>
      <c r="AR47">
        <f t="shared" si="42"/>
        <v>51.759606732800002</v>
      </c>
      <c r="AS47">
        <f t="shared" si="43"/>
        <v>7.9637362726996119E-3</v>
      </c>
      <c r="AT47" s="1">
        <v>8977</v>
      </c>
      <c r="AU47" s="1">
        <f t="shared" si="44"/>
        <v>4.3384545494087004E-2</v>
      </c>
      <c r="AV47" s="1">
        <f t="shared" si="45"/>
        <v>0.17551376902505961</v>
      </c>
      <c r="AW47" s="1">
        <v>80255</v>
      </c>
      <c r="AX47" s="1">
        <f t="shared" si="46"/>
        <v>97911.099999999991</v>
      </c>
      <c r="AY47" s="1">
        <f t="shared" si="123"/>
        <v>0.47319021636694902</v>
      </c>
      <c r="AZ47" s="1">
        <f t="shared" si="47"/>
        <v>0.13190335092320099</v>
      </c>
      <c r="BA47" s="1">
        <f t="shared" si="48"/>
        <v>60.4858519474</v>
      </c>
      <c r="BB47" s="1">
        <v>9056</v>
      </c>
      <c r="BC47" s="1">
        <f t="shared" si="49"/>
        <v>11048.32</v>
      </c>
      <c r="BD47" s="1">
        <f t="shared" si="50"/>
        <v>1.2307363261668709</v>
      </c>
      <c r="BE47" s="1">
        <f t="shared" si="51"/>
        <v>0.1128403214752975</v>
      </c>
      <c r="BF47" s="1">
        <f t="shared" si="52"/>
        <v>7.8231553517415439E-3</v>
      </c>
      <c r="BG47" s="1">
        <v>3426</v>
      </c>
      <c r="BH47" s="1">
        <f t="shared" si="53"/>
        <v>1.6745195409489922E-2</v>
      </c>
      <c r="BI47" s="1">
        <v>175867.43400000001</v>
      </c>
      <c r="BJ47" s="1">
        <f t="shared" si="124"/>
        <v>0.85958393125965316</v>
      </c>
      <c r="BK47" s="1">
        <v>101.2013381</v>
      </c>
      <c r="BL47" s="1">
        <v>5794.8639999999996</v>
      </c>
      <c r="BM47">
        <f t="shared" si="125"/>
        <v>1.6914372446001167</v>
      </c>
      <c r="BN47">
        <f t="shared" si="126"/>
        <v>3.2950182237832609E-2</v>
      </c>
      <c r="BO47">
        <f t="shared" si="54"/>
        <v>8.4938000563814006E-3</v>
      </c>
      <c r="BP47">
        <v>66635</v>
      </c>
      <c r="BQ47">
        <f t="shared" si="55"/>
        <v>87291.85</v>
      </c>
      <c r="BR47">
        <f t="shared" si="127"/>
        <v>0.4252076186004054</v>
      </c>
      <c r="BS47">
        <f t="shared" si="56"/>
        <v>59.525235619600004</v>
      </c>
      <c r="BT47">
        <f t="shared" si="57"/>
        <v>7.143316849978102E-3</v>
      </c>
      <c r="BU47">
        <v>91.19</v>
      </c>
      <c r="BV47">
        <f t="shared" si="128"/>
        <v>91190</v>
      </c>
      <c r="BW47">
        <f t="shared" si="58"/>
        <v>116723.2</v>
      </c>
      <c r="BX47">
        <f t="shared" si="129"/>
        <v>0.56728803221283408</v>
      </c>
      <c r="BY47">
        <f t="shared" si="59"/>
        <v>76.247206297600002</v>
      </c>
      <c r="BZ47">
        <f t="shared" si="60"/>
        <v>7.4401156417279821E-3</v>
      </c>
      <c r="CA47" s="1">
        <v>3536</v>
      </c>
      <c r="CB47" s="1">
        <f t="shared" si="61"/>
        <v>1.708897770603672E-2</v>
      </c>
      <c r="CC47" s="1">
        <f t="shared" si="62"/>
        <v>2.0530205120924912E-2</v>
      </c>
      <c r="CD47" s="1">
        <v>108912</v>
      </c>
      <c r="CE47" s="1">
        <f t="shared" si="63"/>
        <v>132872.63999999998</v>
      </c>
      <c r="CF47">
        <f t="shared" si="130"/>
        <v>0.64215429375063426</v>
      </c>
      <c r="CG47">
        <f t="shared" si="64"/>
        <v>-0.25294753612994225</v>
      </c>
      <c r="CH47">
        <f t="shared" si="65"/>
        <v>90.917938902799989</v>
      </c>
      <c r="CI47" s="1">
        <v>5822</v>
      </c>
      <c r="CJ47" s="1">
        <f t="shared" si="66"/>
        <v>7102.84</v>
      </c>
      <c r="CK47">
        <f t="shared" si="67"/>
        <v>2.0087217194570135</v>
      </c>
      <c r="CL47">
        <f t="shared" si="68"/>
        <v>5.3456001175260767E-2</v>
      </c>
      <c r="CM47">
        <f t="shared" si="69"/>
        <v>7.0630098031276194E-3</v>
      </c>
      <c r="CN47" s="1">
        <v>9054</v>
      </c>
      <c r="CO47" s="1">
        <f t="shared" si="70"/>
        <v>4.4253064576042542E-2</v>
      </c>
      <c r="CP47" s="1">
        <v>67997160</v>
      </c>
      <c r="CQ47" s="1">
        <f t="shared" si="131"/>
        <v>332.348433009443</v>
      </c>
      <c r="CR47" s="1">
        <v>108123.0123</v>
      </c>
      <c r="CS47" s="1">
        <v>12158998</v>
      </c>
      <c r="CT47">
        <f t="shared" si="71"/>
        <v>1342.9421250276121</v>
      </c>
      <c r="CU47">
        <f t="shared" si="72"/>
        <v>0.17881626232625009</v>
      </c>
      <c r="CV47">
        <f t="shared" si="73"/>
        <v>3.0737992397705609E-3</v>
      </c>
      <c r="CW47" s="1">
        <v>4580</v>
      </c>
      <c r="CX47" s="1">
        <f t="shared" si="74"/>
        <v>2.2134479042321319E-2</v>
      </c>
      <c r="CY47" s="1">
        <f t="shared" si="75"/>
        <v>-0.49982042476885657</v>
      </c>
      <c r="CZ47" s="1">
        <v>40905160</v>
      </c>
      <c r="DA47" s="1">
        <f t="shared" si="132"/>
        <v>49904295.199999996</v>
      </c>
      <c r="DB47" s="1">
        <f t="shared" si="133"/>
        <v>241.18025681795115</v>
      </c>
      <c r="DC47" s="1">
        <f t="shared" si="76"/>
        <v>-0.27431504751190294</v>
      </c>
      <c r="DD47" s="1">
        <f t="shared" si="77"/>
        <v>93954.54819500001</v>
      </c>
      <c r="DE47" s="1">
        <v>6156273</v>
      </c>
      <c r="DF47" s="1">
        <f t="shared" si="78"/>
        <v>7510653.0599999996</v>
      </c>
      <c r="DG47">
        <f t="shared" si="79"/>
        <v>1639.880580786026</v>
      </c>
      <c r="DH47">
        <f t="shared" si="80"/>
        <v>0.15050113482015473</v>
      </c>
      <c r="DI47">
        <f t="shared" si="81"/>
        <v>2.5669886285588682E-3</v>
      </c>
      <c r="DJ47" s="1">
        <v>1936742</v>
      </c>
      <c r="DK47">
        <f t="shared" si="134"/>
        <v>9.4661772468669962</v>
      </c>
      <c r="DL47">
        <v>1889.3069949999999</v>
      </c>
      <c r="DM47" s="1">
        <v>458685</v>
      </c>
      <c r="DN47" s="3">
        <f t="shared" si="82"/>
        <v>5.0103965485328635E-3</v>
      </c>
      <c r="DO47" s="1">
        <v>1776265</v>
      </c>
      <c r="DP47" s="1">
        <f t="shared" si="83"/>
        <v>2167043.2999999998</v>
      </c>
      <c r="DQ47" s="3">
        <f t="shared" si="135"/>
        <v>10.473007534422013</v>
      </c>
      <c r="DR47" s="3">
        <f t="shared" si="84"/>
        <v>1905.8896083399998</v>
      </c>
      <c r="DS47" s="3">
        <f t="shared" si="85"/>
        <v>283647.84986032656</v>
      </c>
      <c r="DT47" s="3">
        <f t="shared" si="86"/>
        <v>5.4950756269371969E-3</v>
      </c>
      <c r="DU47" s="3">
        <f t="shared" si="87"/>
        <v>0.61839355954593367</v>
      </c>
      <c r="DV47" s="3">
        <f t="shared" si="88"/>
        <v>498.17932375259926</v>
      </c>
      <c r="DW47" s="3">
        <f t="shared" si="89"/>
        <v>0.10755086675189525</v>
      </c>
      <c r="DX47" s="3">
        <f t="shared" si="90"/>
        <v>70195300.434</v>
      </c>
      <c r="DY47" s="3">
        <f t="shared" si="91"/>
        <v>343.09224243875735</v>
      </c>
      <c r="DZ47" s="3">
        <f t="shared" si="92"/>
        <v>69933902</v>
      </c>
      <c r="EA47" s="3">
        <f t="shared" si="93"/>
        <v>145432.27000000002</v>
      </c>
      <c r="EB47" s="3">
        <f t="shared" si="94"/>
        <v>0.7084156103273237</v>
      </c>
      <c r="EC47" s="3">
        <f t="shared" si="95"/>
        <v>201536</v>
      </c>
      <c r="ED47" s="3">
        <f t="shared" si="96"/>
        <v>0.97948788981150048</v>
      </c>
      <c r="EE47" s="9">
        <f t="shared" si="97"/>
        <v>52302122.239999995</v>
      </c>
      <c r="EF47" s="13">
        <f t="shared" si="98"/>
        <v>252.76860886249074</v>
      </c>
      <c r="EG47" s="14">
        <f t="shared" si="99"/>
        <v>-0.26326340967149547</v>
      </c>
      <c r="EH47" s="9">
        <f t="shared" si="100"/>
        <v>52071338.499999993</v>
      </c>
      <c r="EI47" s="10">
        <v>367310</v>
      </c>
      <c r="EJ47" s="10">
        <f t="shared" si="136"/>
        <v>481176.10000000003</v>
      </c>
      <c r="EK47" s="10">
        <f t="shared" si="101"/>
        <v>2.3438584886038107</v>
      </c>
      <c r="EL47" s="10">
        <v>856000</v>
      </c>
      <c r="EM47" s="10">
        <f t="shared" si="137"/>
        <v>1095680</v>
      </c>
      <c r="EN47" s="10">
        <f t="shared" si="102"/>
        <v>5.3251294612806888</v>
      </c>
      <c r="EO47" s="11">
        <v>3867106</v>
      </c>
      <c r="EP47" s="11">
        <f t="shared" si="138"/>
        <v>4717869.32</v>
      </c>
      <c r="EQ47" s="11">
        <f t="shared" si="103"/>
        <v>22.800781569421556</v>
      </c>
      <c r="ER47" s="10">
        <f t="shared" si="104"/>
        <v>30.469769519306055</v>
      </c>
      <c r="ES47" s="10">
        <f t="shared" si="115"/>
        <v>4.3058824839369159</v>
      </c>
      <c r="ET47" s="12">
        <v>122362</v>
      </c>
      <c r="EU47" s="12">
        <f t="shared" si="139"/>
        <v>160294.22</v>
      </c>
      <c r="EV47" s="12">
        <f t="shared" si="105"/>
        <v>0.78080970401715022</v>
      </c>
      <c r="EW47" s="10">
        <v>4000</v>
      </c>
      <c r="EX47" s="10">
        <f t="shared" si="140"/>
        <v>5120</v>
      </c>
      <c r="EY47" s="10">
        <f t="shared" si="106"/>
        <v>2.4883782529349013E-2</v>
      </c>
      <c r="EZ47" s="3">
        <f t="shared" si="107"/>
        <v>17223.529935747665</v>
      </c>
      <c r="FA47" s="3">
        <f t="shared" si="108"/>
        <v>8.323883458462894E-2</v>
      </c>
      <c r="FB47" s="3">
        <f t="shared" si="109"/>
        <v>0.88893232113112819</v>
      </c>
      <c r="FC47" s="1">
        <f t="shared" si="110"/>
        <v>0.25330000000000003</v>
      </c>
      <c r="FD47">
        <f>2.61/10</f>
        <v>0.26100000000000001</v>
      </c>
      <c r="FE47">
        <f>3.1</f>
        <v>3.1</v>
      </c>
      <c r="FF47" s="7">
        <f t="shared" si="111"/>
        <v>10.1975</v>
      </c>
      <c r="FG47" s="1">
        <f t="shared" si="112"/>
        <v>1.4195</v>
      </c>
      <c r="FH47">
        <v>2.63E-2</v>
      </c>
      <c r="FI47">
        <v>3.4000000000000002E-2</v>
      </c>
      <c r="FJ47">
        <v>4.41E-2</v>
      </c>
      <c r="FK47">
        <v>4.0899999999999999E-2</v>
      </c>
      <c r="FL47" s="1">
        <f t="shared" si="113"/>
        <v>2.5666666666666672E-3</v>
      </c>
    </row>
    <row r="48" spans="1:168">
      <c r="A48" s="1" t="s">
        <v>122</v>
      </c>
      <c r="B48" s="1" t="s">
        <v>66</v>
      </c>
      <c r="C48" s="1">
        <v>611665</v>
      </c>
      <c r="D48" s="6">
        <v>615035</v>
      </c>
      <c r="E48" s="6">
        <v>617282</v>
      </c>
      <c r="F48" s="1">
        <v>622899</v>
      </c>
      <c r="G48" s="1">
        <f t="shared" si="119"/>
        <v>1123.4000000000001</v>
      </c>
      <c r="H48" s="1">
        <v>1.31</v>
      </c>
      <c r="I48" s="1">
        <v>1.28</v>
      </c>
      <c r="J48" s="1">
        <v>1.22</v>
      </c>
      <c r="K48" s="1">
        <v>1034065</v>
      </c>
      <c r="L48">
        <f t="shared" si="24"/>
        <v>1.690574088757735</v>
      </c>
      <c r="M48" s="1">
        <v>951634</v>
      </c>
      <c r="N48">
        <f t="shared" si="25"/>
        <v>1.5277500846846761</v>
      </c>
      <c r="O48">
        <f t="shared" si="26"/>
        <v>-9.6312847307807106E-2</v>
      </c>
      <c r="P48">
        <f t="shared" si="27"/>
        <v>0.17348623725804305</v>
      </c>
      <c r="Q48">
        <f t="shared" si="28"/>
        <v>0.18144004905820268</v>
      </c>
      <c r="R48">
        <f t="shared" si="29"/>
        <v>1108.3277873712973</v>
      </c>
      <c r="S48">
        <f t="shared" si="30"/>
        <v>1304.5209514688731</v>
      </c>
      <c r="T48">
        <f t="shared" si="31"/>
        <v>4866.568312244447</v>
      </c>
      <c r="U48">
        <v>92297.113769999996</v>
      </c>
      <c r="V48">
        <f t="shared" si="32"/>
        <v>5.2727199296520831E-2</v>
      </c>
      <c r="W48">
        <f t="shared" si="33"/>
        <v>5857.6625087534248</v>
      </c>
      <c r="X48">
        <v>79429.064259999999</v>
      </c>
      <c r="Y48">
        <f t="shared" si="34"/>
        <v>7.3747091991153021E-2</v>
      </c>
      <c r="Z48" s="1">
        <v>111295</v>
      </c>
      <c r="AA48" s="1">
        <f t="shared" si="35"/>
        <v>0.18195417426205521</v>
      </c>
      <c r="AB48" s="1">
        <v>1368081</v>
      </c>
      <c r="AC48" s="1">
        <f t="shared" si="120"/>
        <v>2.2366507810647986</v>
      </c>
      <c r="AD48" s="1">
        <v>61.278341249999997</v>
      </c>
      <c r="AE48" s="1">
        <v>168225</v>
      </c>
      <c r="AF48">
        <f t="shared" si="114"/>
        <v>1.5115234287254593</v>
      </c>
      <c r="AG48">
        <f t="shared" si="36"/>
        <v>0.12296421045245128</v>
      </c>
      <c r="AH48">
        <f t="shared" si="116"/>
        <v>3.6499858440029148E-2</v>
      </c>
      <c r="AI48">
        <v>595185</v>
      </c>
      <c r="AJ48">
        <f t="shared" si="37"/>
        <v>779692.35</v>
      </c>
      <c r="AK48">
        <f t="shared" si="121"/>
        <v>1.2677202923410862</v>
      </c>
      <c r="AL48">
        <f t="shared" si="38"/>
        <v>40.567501634999999</v>
      </c>
      <c r="AM48">
        <f t="shared" si="39"/>
        <v>3.1249651599134919E-2</v>
      </c>
      <c r="AN48">
        <v>847.79</v>
      </c>
      <c r="AO48">
        <f t="shared" si="40"/>
        <v>847790</v>
      </c>
      <c r="AP48">
        <f t="shared" si="41"/>
        <v>1085171.2</v>
      </c>
      <c r="AQ48">
        <f t="shared" si="122"/>
        <v>1.7579828992259614</v>
      </c>
      <c r="AR48">
        <f t="shared" si="42"/>
        <v>51.759606732800002</v>
      </c>
      <c r="AS48">
        <f t="shared" si="43"/>
        <v>3.3964378985745454E-2</v>
      </c>
      <c r="AT48" s="1">
        <v>124630</v>
      </c>
      <c r="AU48" s="1">
        <f t="shared" si="44"/>
        <v>0.20008059091441791</v>
      </c>
      <c r="AV48" s="1">
        <f t="shared" si="45"/>
        <v>9.962077938512448E-2</v>
      </c>
      <c r="AW48" s="1">
        <v>1035312</v>
      </c>
      <c r="AX48" s="1">
        <f t="shared" si="46"/>
        <v>1263080.6399999999</v>
      </c>
      <c r="AY48" s="1">
        <f t="shared" si="123"/>
        <v>2.0277454932501096</v>
      </c>
      <c r="AZ48" s="1">
        <f t="shared" si="47"/>
        <v>-9.3400941078175773E-2</v>
      </c>
      <c r="BA48" s="1">
        <f t="shared" si="48"/>
        <v>60.4858519474</v>
      </c>
      <c r="BB48" s="1">
        <v>137070</v>
      </c>
      <c r="BC48" s="1">
        <f t="shared" si="49"/>
        <v>167225.4</v>
      </c>
      <c r="BD48" s="1">
        <f t="shared" si="50"/>
        <v>1.341774853566557</v>
      </c>
      <c r="BE48" s="1">
        <f t="shared" si="51"/>
        <v>0.13239487227038807</v>
      </c>
      <c r="BF48" s="1">
        <f t="shared" si="52"/>
        <v>3.3524294160781391E-2</v>
      </c>
      <c r="BG48" s="1">
        <v>51756</v>
      </c>
      <c r="BH48" s="1">
        <f t="shared" si="53"/>
        <v>8.4614944454889526E-2</v>
      </c>
      <c r="BI48" s="1">
        <v>2985054.7089999998</v>
      </c>
      <c r="BJ48" s="1">
        <f t="shared" si="124"/>
        <v>4.8802117319120759</v>
      </c>
      <c r="BK48" s="1">
        <v>101.2013381</v>
      </c>
      <c r="BL48" s="1">
        <v>110498.62699999999</v>
      </c>
      <c r="BM48">
        <f t="shared" si="125"/>
        <v>2.1349916338202335</v>
      </c>
      <c r="BN48">
        <f t="shared" si="126"/>
        <v>3.7017287042292533E-2</v>
      </c>
      <c r="BO48">
        <f t="shared" si="54"/>
        <v>4.8222798468235628E-2</v>
      </c>
      <c r="BP48">
        <v>1142042</v>
      </c>
      <c r="BQ48">
        <f t="shared" si="55"/>
        <v>1496075.02</v>
      </c>
      <c r="BR48">
        <f t="shared" si="127"/>
        <v>2.4325038737632818</v>
      </c>
      <c r="BS48">
        <f t="shared" si="56"/>
        <v>59.525235619600004</v>
      </c>
      <c r="BT48">
        <f t="shared" si="57"/>
        <v>4.0865086016767083E-2</v>
      </c>
      <c r="BU48">
        <v>1629.07</v>
      </c>
      <c r="BV48">
        <f t="shared" si="128"/>
        <v>1629070</v>
      </c>
      <c r="BW48">
        <f t="shared" si="58"/>
        <v>2085209.6</v>
      </c>
      <c r="BX48">
        <f t="shared" si="129"/>
        <v>3.3780502266387162</v>
      </c>
      <c r="BY48">
        <f t="shared" si="59"/>
        <v>76.247206297600002</v>
      </c>
      <c r="BZ48">
        <f t="shared" si="60"/>
        <v>4.430392129324541E-2</v>
      </c>
      <c r="CA48" s="1">
        <v>46507</v>
      </c>
      <c r="CB48" s="1">
        <f t="shared" si="61"/>
        <v>7.4662184399075932E-2</v>
      </c>
      <c r="CC48" s="1">
        <f t="shared" si="62"/>
        <v>-0.11762413980097423</v>
      </c>
      <c r="CD48" s="1">
        <v>2123501</v>
      </c>
      <c r="CE48" s="1">
        <f t="shared" si="63"/>
        <v>2590671.2199999997</v>
      </c>
      <c r="CF48">
        <f t="shared" si="130"/>
        <v>4.1590550313935317</v>
      </c>
      <c r="CG48">
        <f t="shared" si="64"/>
        <v>-0.1477716009333869</v>
      </c>
      <c r="CH48">
        <f t="shared" si="65"/>
        <v>90.917938902799989</v>
      </c>
      <c r="CI48" s="1">
        <v>87437</v>
      </c>
      <c r="CJ48" s="1">
        <f t="shared" si="66"/>
        <v>106673.14</v>
      </c>
      <c r="CK48">
        <f t="shared" si="67"/>
        <v>2.2937007332229555</v>
      </c>
      <c r="CL48">
        <f t="shared" si="68"/>
        <v>4.1175869472159426E-2</v>
      </c>
      <c r="CM48">
        <f t="shared" si="69"/>
        <v>4.5745153064236981E-2</v>
      </c>
      <c r="CN48" s="1">
        <v>302460</v>
      </c>
      <c r="CO48" s="1">
        <f t="shared" si="70"/>
        <v>0.49448636099825888</v>
      </c>
      <c r="CP48" s="1">
        <v>2972356371</v>
      </c>
      <c r="CQ48" s="1">
        <f t="shared" si="131"/>
        <v>4859.4514497314703</v>
      </c>
      <c r="CR48" s="1">
        <v>108123.0123</v>
      </c>
      <c r="CS48" s="1">
        <v>515660053</v>
      </c>
      <c r="CT48">
        <f t="shared" si="71"/>
        <v>1704.8867718045362</v>
      </c>
      <c r="CU48">
        <f t="shared" si="72"/>
        <v>0.17348527183048199</v>
      </c>
      <c r="CV48">
        <f t="shared" si="73"/>
        <v>4.49437297977636E-2</v>
      </c>
      <c r="CW48" s="1">
        <v>337382</v>
      </c>
      <c r="CX48" s="1">
        <f t="shared" si="74"/>
        <v>0.54163194996299557</v>
      </c>
      <c r="CY48" s="1">
        <f t="shared" si="75"/>
        <v>9.5342546697466335E-2</v>
      </c>
      <c r="CZ48" s="1">
        <v>2987605219</v>
      </c>
      <c r="DA48" s="1">
        <f t="shared" si="132"/>
        <v>3644878367.1799998</v>
      </c>
      <c r="DB48" s="1">
        <f t="shared" si="133"/>
        <v>5851.4757082287815</v>
      </c>
      <c r="DC48" s="1">
        <f t="shared" si="76"/>
        <v>0.20414325953439244</v>
      </c>
      <c r="DD48" s="1">
        <f t="shared" si="77"/>
        <v>93954.54819500001</v>
      </c>
      <c r="DE48" s="1">
        <v>543524419</v>
      </c>
      <c r="DF48" s="1">
        <f t="shared" si="78"/>
        <v>663099791.17999995</v>
      </c>
      <c r="DG48">
        <f t="shared" si="79"/>
        <v>1965.427293631551</v>
      </c>
      <c r="DH48">
        <f t="shared" si="80"/>
        <v>0.18192645251233241</v>
      </c>
      <c r="DI48">
        <f t="shared" si="81"/>
        <v>6.2279855745612324E-2</v>
      </c>
      <c r="DJ48" s="1">
        <v>4887194</v>
      </c>
      <c r="DK48">
        <f t="shared" si="134"/>
        <v>7.9899847138548061</v>
      </c>
      <c r="DL48">
        <v>1889.3069949999999</v>
      </c>
      <c r="DM48" s="1">
        <v>1327216</v>
      </c>
      <c r="DN48" s="3">
        <f t="shared" si="82"/>
        <v>4.2290558045887123E-3</v>
      </c>
      <c r="DO48" s="1">
        <v>6087704</v>
      </c>
      <c r="DP48" s="1">
        <f t="shared" si="83"/>
        <v>7426998.8799999999</v>
      </c>
      <c r="DQ48" s="3">
        <f t="shared" si="135"/>
        <v>11.923279504381931</v>
      </c>
      <c r="DR48" s="3">
        <f t="shared" si="84"/>
        <v>1905.8896083399998</v>
      </c>
      <c r="DS48" s="3">
        <f t="shared" si="85"/>
        <v>1706481.8828532</v>
      </c>
      <c r="DT48" s="3">
        <f t="shared" si="86"/>
        <v>6.2560178995712777E-3</v>
      </c>
      <c r="DU48" s="3">
        <f t="shared" si="87"/>
        <v>1.285760481227773</v>
      </c>
      <c r="DV48" s="3">
        <f t="shared" si="88"/>
        <v>612.93267601423713</v>
      </c>
      <c r="DW48" s="3">
        <f t="shared" si="89"/>
        <v>0.11482732726335097</v>
      </c>
      <c r="DX48" s="3">
        <f t="shared" si="90"/>
        <v>2981596700.7090001</v>
      </c>
      <c r="DY48" s="3">
        <f t="shared" si="91"/>
        <v>4874.5582969583029</v>
      </c>
      <c r="DZ48" s="3">
        <f t="shared" si="92"/>
        <v>2977243565</v>
      </c>
      <c r="EA48" s="3">
        <f t="shared" si="93"/>
        <v>2275767.37</v>
      </c>
      <c r="EB48" s="3">
        <f t="shared" si="94"/>
        <v>3.7002241661043684</v>
      </c>
      <c r="EC48" s="3">
        <f t="shared" si="95"/>
        <v>3170380.8</v>
      </c>
      <c r="ED48" s="3">
        <f t="shared" si="96"/>
        <v>5.1360331258646772</v>
      </c>
      <c r="EE48" s="9">
        <f t="shared" si="97"/>
        <v>3656159117.9200001</v>
      </c>
      <c r="EF48" s="13">
        <f t="shared" si="98"/>
        <v>5869.5857882578075</v>
      </c>
      <c r="EG48" s="14">
        <f t="shared" si="99"/>
        <v>0.20412669839652881</v>
      </c>
      <c r="EH48" s="9">
        <f t="shared" si="100"/>
        <v>3652305366.0599999</v>
      </c>
      <c r="EI48" s="1">
        <v>623909</v>
      </c>
      <c r="EJ48" s="10">
        <f t="shared" si="136"/>
        <v>817320.79</v>
      </c>
      <c r="EK48" s="10">
        <f t="shared" si="101"/>
        <v>1.3289012657816222</v>
      </c>
      <c r="EL48" s="1">
        <v>992000</v>
      </c>
      <c r="EM48" s="10">
        <f t="shared" si="137"/>
        <v>1269760</v>
      </c>
      <c r="EN48" s="10">
        <f t="shared" si="102"/>
        <v>2.0570177001759324</v>
      </c>
      <c r="EO48" s="1">
        <v>7833067</v>
      </c>
      <c r="EP48" s="11">
        <f t="shared" si="138"/>
        <v>9556341.7400000002</v>
      </c>
      <c r="EQ48" s="11">
        <f t="shared" si="103"/>
        <v>15.341719508299098</v>
      </c>
      <c r="ER48" s="10">
        <f t="shared" si="104"/>
        <v>18.727638474256654</v>
      </c>
      <c r="ES48" s="10">
        <f t="shared" si="115"/>
        <v>7.526100790700605</v>
      </c>
      <c r="ET48" s="12">
        <v>786811</v>
      </c>
      <c r="EU48" s="12">
        <f t="shared" si="139"/>
        <v>1030722.41</v>
      </c>
      <c r="EV48" s="12">
        <f t="shared" si="105"/>
        <v>1.6758760233157464</v>
      </c>
      <c r="EW48" s="1">
        <v>339000</v>
      </c>
      <c r="EX48" s="10">
        <f t="shared" si="140"/>
        <v>433920</v>
      </c>
      <c r="EY48" s="10">
        <f t="shared" si="106"/>
        <v>0.70295262133028336</v>
      </c>
      <c r="EZ48" s="3">
        <f t="shared" si="107"/>
        <v>2551348.168047505</v>
      </c>
      <c r="FA48" s="3">
        <f t="shared" si="108"/>
        <v>4.0959259334940414</v>
      </c>
      <c r="FB48" s="3">
        <f t="shared" si="109"/>
        <v>6.4747545781400717</v>
      </c>
      <c r="FC48" s="1">
        <v>0.87891067</v>
      </c>
      <c r="FD48">
        <v>0.88661069999999997</v>
      </c>
      <c r="FE48">
        <v>4.7207710000000001</v>
      </c>
      <c r="FF48" s="7">
        <f t="shared" si="111"/>
        <v>14.306171750000001</v>
      </c>
      <c r="FG48" s="1">
        <f t="shared" si="112"/>
        <v>1.9170801500000001</v>
      </c>
      <c r="FH48">
        <v>2.63E-2</v>
      </c>
      <c r="FI48">
        <v>3.4000000000000002E-2</v>
      </c>
      <c r="FJ48">
        <v>4.41E-2</v>
      </c>
      <c r="FK48">
        <v>4.0899999999999999E-2</v>
      </c>
      <c r="FL48" s="1">
        <f t="shared" si="113"/>
        <v>2.5666666666666672E-3</v>
      </c>
    </row>
    <row r="49" spans="1:310">
      <c r="A49" t="s">
        <v>122</v>
      </c>
      <c r="B49" s="3" t="s">
        <v>67</v>
      </c>
      <c r="C49" s="1">
        <v>1033553</v>
      </c>
      <c r="D49" s="6">
        <v>1050571</v>
      </c>
      <c r="E49" s="6">
        <v>1061916</v>
      </c>
      <c r="F49" s="1">
        <v>1090278</v>
      </c>
      <c r="G49" s="1">
        <f t="shared" si="119"/>
        <v>5672.5</v>
      </c>
      <c r="H49" s="1">
        <v>1.31</v>
      </c>
      <c r="I49" s="1">
        <v>1.28</v>
      </c>
      <c r="J49" s="1">
        <v>1.22</v>
      </c>
      <c r="K49" s="1">
        <v>469046</v>
      </c>
      <c r="L49">
        <f t="shared" si="24"/>
        <v>0.45381901073287967</v>
      </c>
      <c r="M49" s="1">
        <v>425682</v>
      </c>
      <c r="N49">
        <f t="shared" si="25"/>
        <v>0.39043436628089351</v>
      </c>
      <c r="O49">
        <f t="shared" si="26"/>
        <v>-0.13966943418616437</v>
      </c>
      <c r="P49">
        <f t="shared" si="27"/>
        <v>0.13366484291592282</v>
      </c>
      <c r="Q49">
        <f t="shared" si="28"/>
        <v>0.14593999144317449</v>
      </c>
      <c r="R49">
        <f t="shared" si="29"/>
        <v>696.21445157369612</v>
      </c>
      <c r="S49">
        <f t="shared" si="30"/>
        <v>747.27138197959823</v>
      </c>
      <c r="T49">
        <f t="shared" si="31"/>
        <v>1035.3688547021779</v>
      </c>
      <c r="U49">
        <v>92297.113769999996</v>
      </c>
      <c r="V49">
        <f t="shared" si="32"/>
        <v>1.1217781492954024E-2</v>
      </c>
      <c r="W49">
        <f t="shared" si="33"/>
        <v>854.97712412797466</v>
      </c>
      <c r="X49">
        <v>79429.064259999999</v>
      </c>
      <c r="Y49">
        <f t="shared" si="34"/>
        <v>1.076403369589406E-2</v>
      </c>
      <c r="Z49" s="1">
        <v>48700</v>
      </c>
      <c r="AA49" s="1">
        <f t="shared" si="35"/>
        <v>4.7119015667314593E-2</v>
      </c>
      <c r="AB49" s="1">
        <v>516075</v>
      </c>
      <c r="AC49" s="1">
        <f t="shared" si="120"/>
        <v>0.49932127331641435</v>
      </c>
      <c r="AD49" s="1">
        <v>61.278341249999997</v>
      </c>
      <c r="AE49" s="1">
        <v>64750</v>
      </c>
      <c r="AF49">
        <f t="shared" si="114"/>
        <v>1.3295687885010268</v>
      </c>
      <c r="AG49">
        <f t="shared" si="36"/>
        <v>0.12546625974906747</v>
      </c>
      <c r="AH49">
        <f t="shared" si="116"/>
        <v>8.1484136667360329E-3</v>
      </c>
      <c r="AI49">
        <v>288523</v>
      </c>
      <c r="AJ49">
        <f t="shared" si="37"/>
        <v>377965.13</v>
      </c>
      <c r="AK49">
        <f t="shared" si="121"/>
        <v>0.35977114350196226</v>
      </c>
      <c r="AL49">
        <f t="shared" si="38"/>
        <v>40.567501634999999</v>
      </c>
      <c r="AM49">
        <f t="shared" si="39"/>
        <v>8.8684569914841953E-3</v>
      </c>
      <c r="AN49">
        <v>364.38</v>
      </c>
      <c r="AO49">
        <f t="shared" si="40"/>
        <v>364380</v>
      </c>
      <c r="AP49">
        <f t="shared" si="41"/>
        <v>466406.40000000002</v>
      </c>
      <c r="AQ49">
        <f t="shared" si="122"/>
        <v>0.43921214107330525</v>
      </c>
      <c r="AR49">
        <f t="shared" si="42"/>
        <v>51.759606732800002</v>
      </c>
      <c r="AS49">
        <f t="shared" si="43"/>
        <v>8.4856158846156188E-3</v>
      </c>
      <c r="AT49" s="1">
        <v>51629</v>
      </c>
      <c r="AU49" s="1">
        <f t="shared" si="44"/>
        <v>4.7353977609380357E-2</v>
      </c>
      <c r="AV49" s="1">
        <f t="shared" si="45"/>
        <v>4.9865630412299199E-3</v>
      </c>
      <c r="AW49" s="1">
        <v>419479</v>
      </c>
      <c r="AX49" s="1">
        <f t="shared" si="46"/>
        <v>511764.38</v>
      </c>
      <c r="AY49" s="1">
        <f t="shared" si="123"/>
        <v>0.46938888980608617</v>
      </c>
      <c r="AZ49" s="1">
        <f t="shared" si="47"/>
        <v>-5.9946141111757431E-2</v>
      </c>
      <c r="BA49" s="1">
        <f t="shared" si="48"/>
        <v>60.4858519474</v>
      </c>
      <c r="BB49" s="1">
        <v>53724</v>
      </c>
      <c r="BC49" s="1">
        <f t="shared" si="49"/>
        <v>65543.28</v>
      </c>
      <c r="BD49" s="1">
        <f t="shared" si="50"/>
        <v>1.2695051230897363</v>
      </c>
      <c r="BE49" s="1">
        <f t="shared" si="51"/>
        <v>0.12807315741670022</v>
      </c>
      <c r="BF49" s="1">
        <f t="shared" si="52"/>
        <v>7.7603088109642303E-3</v>
      </c>
      <c r="BG49" s="1">
        <v>41297</v>
      </c>
      <c r="BH49" s="1">
        <f t="shared" si="53"/>
        <v>3.9956344764129174E-2</v>
      </c>
      <c r="BI49" s="1">
        <v>1436823.8840000001</v>
      </c>
      <c r="BJ49" s="1">
        <f t="shared" si="124"/>
        <v>1.3901792012601193</v>
      </c>
      <c r="BK49" s="1">
        <v>101.2013381</v>
      </c>
      <c r="BL49" s="1">
        <v>80297.264999999999</v>
      </c>
      <c r="BM49">
        <f t="shared" si="125"/>
        <v>1.9443849432162141</v>
      </c>
      <c r="BN49">
        <f t="shared" si="126"/>
        <v>5.5885252113473352E-2</v>
      </c>
      <c r="BO49">
        <f t="shared" si="54"/>
        <v>1.3736766996958505E-2</v>
      </c>
      <c r="BP49">
        <v>729470</v>
      </c>
      <c r="BQ49">
        <f t="shared" si="55"/>
        <v>955605.70000000007</v>
      </c>
      <c r="BR49">
        <f t="shared" si="127"/>
        <v>0.90960601425320142</v>
      </c>
      <c r="BS49">
        <f t="shared" si="56"/>
        <v>59.525235619600004</v>
      </c>
      <c r="BT49">
        <f t="shared" si="57"/>
        <v>1.5281014930643861E-2</v>
      </c>
      <c r="BU49">
        <v>890.76</v>
      </c>
      <c r="BV49">
        <f t="shared" si="128"/>
        <v>890760</v>
      </c>
      <c r="BW49">
        <f t="shared" si="58"/>
        <v>1140172.8</v>
      </c>
      <c r="BX49">
        <f t="shared" si="129"/>
        <v>1.0736939644943668</v>
      </c>
      <c r="BY49">
        <f t="shared" si="59"/>
        <v>76.247206297600002</v>
      </c>
      <c r="BZ49">
        <f t="shared" si="60"/>
        <v>1.408174825846915E-2</v>
      </c>
      <c r="CA49" s="1">
        <v>35143</v>
      </c>
      <c r="CB49" s="1">
        <f t="shared" si="61"/>
        <v>3.2233063493897887E-2</v>
      </c>
      <c r="CC49" s="1">
        <f t="shared" si="62"/>
        <v>-0.19329298803039827</v>
      </c>
      <c r="CD49" s="1">
        <v>1182114</v>
      </c>
      <c r="CE49" s="1">
        <f t="shared" si="63"/>
        <v>1442179.08</v>
      </c>
      <c r="CF49">
        <f t="shared" si="130"/>
        <v>1.3227627082267093</v>
      </c>
      <c r="CG49">
        <f t="shared" si="64"/>
        <v>-4.849482208646249E-2</v>
      </c>
      <c r="CH49">
        <f t="shared" si="65"/>
        <v>90.917938902799989</v>
      </c>
      <c r="CI49" s="1">
        <v>62513</v>
      </c>
      <c r="CJ49" s="1">
        <f t="shared" si="66"/>
        <v>76265.86</v>
      </c>
      <c r="CK49">
        <f t="shared" si="67"/>
        <v>2.1701579261872919</v>
      </c>
      <c r="CL49">
        <f t="shared" si="68"/>
        <v>5.288237851848468E-2</v>
      </c>
      <c r="CM49">
        <f t="shared" si="69"/>
        <v>1.4548973768981606E-2</v>
      </c>
      <c r="CN49" s="1">
        <v>114871</v>
      </c>
      <c r="CO49" s="1">
        <f t="shared" si="70"/>
        <v>0.1111418572632463</v>
      </c>
      <c r="CP49" s="1">
        <v>1068155687</v>
      </c>
      <c r="CQ49" s="1">
        <f t="shared" si="131"/>
        <v>1033.4793542276013</v>
      </c>
      <c r="CR49" s="1">
        <v>108123.0123</v>
      </c>
      <c r="CS49" s="1">
        <v>142487015</v>
      </c>
      <c r="CT49">
        <f t="shared" si="71"/>
        <v>1240.4089369814835</v>
      </c>
      <c r="CU49">
        <f t="shared" si="72"/>
        <v>0.13339536243090752</v>
      </c>
      <c r="CV49">
        <f t="shared" si="73"/>
        <v>9.5583662741479253E-3</v>
      </c>
      <c r="CW49" s="1">
        <v>96154</v>
      </c>
      <c r="CX49" s="1">
        <f t="shared" si="74"/>
        <v>8.8192185846178675E-2</v>
      </c>
      <c r="CY49" s="1">
        <f t="shared" si="75"/>
        <v>-0.20648990382363253</v>
      </c>
      <c r="CZ49" s="1">
        <v>762466234</v>
      </c>
      <c r="DA49" s="1">
        <f t="shared" si="132"/>
        <v>930208805.48000002</v>
      </c>
      <c r="DB49" s="1">
        <f t="shared" si="133"/>
        <v>853.18497252994189</v>
      </c>
      <c r="DC49" s="1">
        <f t="shared" si="76"/>
        <v>-0.17445378174236226</v>
      </c>
      <c r="DD49" s="1">
        <f t="shared" si="77"/>
        <v>93954.54819500001</v>
      </c>
      <c r="DE49" s="1">
        <v>111929144</v>
      </c>
      <c r="DF49" s="1">
        <f t="shared" si="78"/>
        <v>136553555.68000001</v>
      </c>
      <c r="DG49">
        <f t="shared" si="79"/>
        <v>1420.1547068244693</v>
      </c>
      <c r="DH49">
        <f t="shared" si="80"/>
        <v>0.14679882073308967</v>
      </c>
      <c r="DI49">
        <f t="shared" si="81"/>
        <v>9.0808267286771535E-3</v>
      </c>
      <c r="DJ49" s="1">
        <v>3796662</v>
      </c>
      <c r="DK49">
        <f t="shared" si="134"/>
        <v>3.6734081367864055</v>
      </c>
      <c r="DL49">
        <v>1889.3069949999999</v>
      </c>
      <c r="DM49" s="3">
        <v>911314</v>
      </c>
      <c r="DN49" s="3">
        <f t="shared" si="82"/>
        <v>1.944315109459702E-3</v>
      </c>
      <c r="DO49" s="1">
        <v>3681848</v>
      </c>
      <c r="DP49" s="1">
        <f t="shared" si="83"/>
        <v>4491854.5599999996</v>
      </c>
      <c r="DQ49" s="3">
        <f t="shared" si="135"/>
        <v>4.1199167184883114</v>
      </c>
      <c r="DR49" s="3">
        <f t="shared" si="84"/>
        <v>1905.8896083399998</v>
      </c>
      <c r="DS49" s="3">
        <f t="shared" si="85"/>
        <v>873382.86860164045</v>
      </c>
      <c r="DT49" s="3">
        <f t="shared" si="86"/>
        <v>2.1616764688048721E-3</v>
      </c>
      <c r="DU49" s="3">
        <f t="shared" si="87"/>
        <v>0.95837753902786571</v>
      </c>
      <c r="DV49" s="3">
        <f t="shared" si="88"/>
        <v>444.54621009782454</v>
      </c>
      <c r="DW49" s="3">
        <f t="shared" si="89"/>
        <v>0.10708353849362047</v>
      </c>
      <c r="DX49" s="3">
        <f t="shared" si="90"/>
        <v>1073905247.8839998</v>
      </c>
      <c r="DY49" s="3">
        <f t="shared" si="91"/>
        <v>1039.042262838964</v>
      </c>
      <c r="DZ49" s="3">
        <f t="shared" si="92"/>
        <v>1071952349</v>
      </c>
      <c r="EA49" s="3">
        <f t="shared" si="93"/>
        <v>1333570.83</v>
      </c>
      <c r="EB49" s="3">
        <f t="shared" si="94"/>
        <v>1.2693771577551638</v>
      </c>
      <c r="EC49" s="3">
        <f t="shared" si="95"/>
        <v>1606579.2000000002</v>
      </c>
      <c r="ED49" s="3">
        <f t="shared" si="96"/>
        <v>1.5129061055676722</v>
      </c>
      <c r="EE49" s="9">
        <f t="shared" si="97"/>
        <v>936654603.5</v>
      </c>
      <c r="EF49" s="13">
        <f t="shared" si="98"/>
        <v>859.09704084646296</v>
      </c>
      <c r="EG49" s="14">
        <f t="shared" si="99"/>
        <v>-0.1731837370126203</v>
      </c>
      <c r="EH49" s="9">
        <f t="shared" si="100"/>
        <v>934700660.03999996</v>
      </c>
      <c r="EI49" s="10">
        <v>917364</v>
      </c>
      <c r="EJ49" s="10">
        <f t="shared" si="136"/>
        <v>1201746.8400000001</v>
      </c>
      <c r="EK49" s="10">
        <f t="shared" si="101"/>
        <v>1.1438987369725606</v>
      </c>
      <c r="EL49" s="10">
        <v>1604000</v>
      </c>
      <c r="EM49" s="10">
        <f t="shared" si="137"/>
        <v>2053120</v>
      </c>
      <c r="EN49" s="10">
        <f t="shared" si="102"/>
        <v>1.9334109289246983</v>
      </c>
      <c r="EO49" s="11">
        <v>10956814</v>
      </c>
      <c r="EP49" s="11">
        <f t="shared" si="138"/>
        <v>13367313.08</v>
      </c>
      <c r="EQ49" s="11">
        <f t="shared" si="103"/>
        <v>12.260463001179517</v>
      </c>
      <c r="ER49" s="10">
        <f t="shared" si="104"/>
        <v>15.337772667076775</v>
      </c>
      <c r="ES49" s="10">
        <f t="shared" si="115"/>
        <v>6.5107315110660844</v>
      </c>
      <c r="ET49" s="12">
        <v>263278</v>
      </c>
      <c r="EU49" s="12">
        <f t="shared" si="139"/>
        <v>344894.18</v>
      </c>
      <c r="EV49" s="12">
        <f t="shared" si="105"/>
        <v>0.32829211923801438</v>
      </c>
      <c r="EW49" s="10">
        <v>72000</v>
      </c>
      <c r="EX49" s="10">
        <f t="shared" si="140"/>
        <v>92160</v>
      </c>
      <c r="EY49" s="10">
        <f t="shared" si="106"/>
        <v>8.6786525487891703E-2</v>
      </c>
      <c r="EZ49" s="3">
        <f t="shared" si="107"/>
        <v>468772.66879675805</v>
      </c>
      <c r="FA49" s="3">
        <f t="shared" si="108"/>
        <v>0.4299570098605659</v>
      </c>
      <c r="FB49" s="3">
        <f t="shared" si="109"/>
        <v>0.8450356545864719</v>
      </c>
      <c r="FC49" s="1">
        <f t="shared" si="110"/>
        <v>0.53832609999999992</v>
      </c>
      <c r="FD49">
        <v>0.54602609999999996</v>
      </c>
      <c r="FE49">
        <v>6.3601209000000001</v>
      </c>
      <c r="FF49" s="7">
        <f t="shared" si="111"/>
        <v>20.8953579</v>
      </c>
      <c r="FG49" s="1">
        <f t="shared" si="112"/>
        <v>2.9070474000000002</v>
      </c>
      <c r="FH49">
        <v>2.63E-2</v>
      </c>
      <c r="FI49">
        <v>3.4000000000000002E-2</v>
      </c>
      <c r="FJ49">
        <v>4.41E-2</v>
      </c>
      <c r="FK49">
        <v>4.0899999999999999E-2</v>
      </c>
      <c r="FL49" s="1">
        <f t="shared" si="113"/>
        <v>2.5666666666666672E-3</v>
      </c>
    </row>
    <row r="50" spans="1:310">
      <c r="A50" t="s">
        <v>129</v>
      </c>
      <c r="B50" s="1" t="s">
        <v>79</v>
      </c>
      <c r="C50" s="1">
        <v>97937</v>
      </c>
      <c r="D50" s="6">
        <f t="shared" ref="D50:D63" si="141">C50+G50*3</f>
        <v>101182.39999999999</v>
      </c>
      <c r="E50" s="6">
        <f t="shared" ref="E50:E63" si="142">C50+G50*5</f>
        <v>103346</v>
      </c>
      <c r="F50" s="1">
        <v>108755</v>
      </c>
      <c r="G50" s="1">
        <f t="shared" si="119"/>
        <v>1081.8</v>
      </c>
      <c r="H50" s="1">
        <v>1.31</v>
      </c>
      <c r="I50" s="1">
        <v>1.28</v>
      </c>
      <c r="J50" s="1">
        <v>1.22</v>
      </c>
      <c r="K50">
        <v>36766</v>
      </c>
      <c r="L50">
        <f t="shared" si="24"/>
        <v>0.37540459683265776</v>
      </c>
      <c r="M50" s="1">
        <v>36291</v>
      </c>
      <c r="N50">
        <f t="shared" si="25"/>
        <v>0.33369500252861939</v>
      </c>
      <c r="O50">
        <f t="shared" si="26"/>
        <v>-0.11110571009504992</v>
      </c>
      <c r="P50">
        <f t="shared" si="27"/>
        <v>0.19954863005803344</v>
      </c>
      <c r="Q50">
        <f t="shared" si="28"/>
        <v>0.21184342799980191</v>
      </c>
      <c r="R50">
        <f t="shared" si="29"/>
        <v>454.35912652844229</v>
      </c>
      <c r="S50">
        <f t="shared" si="30"/>
        <v>667.71893403955971</v>
      </c>
      <c r="T50">
        <f t="shared" si="31"/>
        <v>170.9957997692394</v>
      </c>
      <c r="U50">
        <v>92297.113769999996</v>
      </c>
      <c r="V50">
        <f t="shared" si="32"/>
        <v>1.8526668146455021E-3</v>
      </c>
      <c r="W50">
        <f t="shared" si="33"/>
        <v>332.29792487701712</v>
      </c>
      <c r="X50">
        <v>79429.064259999999</v>
      </c>
      <c r="Y50">
        <f t="shared" si="34"/>
        <v>4.1835810099598563E-3</v>
      </c>
      <c r="Z50" s="1">
        <v>3167</v>
      </c>
      <c r="AA50" s="1">
        <f t="shared" si="35"/>
        <v>3.2337114675760947E-2</v>
      </c>
      <c r="AB50" s="1">
        <v>33550</v>
      </c>
      <c r="AC50" s="1">
        <f t="shared" si="120"/>
        <v>0.34256716052155978</v>
      </c>
      <c r="AD50" s="1">
        <v>61.278341249999997</v>
      </c>
      <c r="AE50" s="1">
        <v>3865</v>
      </c>
      <c r="AF50">
        <f t="shared" si="114"/>
        <v>1.2203978528575938</v>
      </c>
      <c r="AG50">
        <f t="shared" si="36"/>
        <v>0.11520119225037258</v>
      </c>
      <c r="AH50">
        <f t="shared" si="116"/>
        <v>5.5903464998174994E-3</v>
      </c>
      <c r="AI50">
        <v>17457</v>
      </c>
      <c r="AJ50">
        <f t="shared" si="37"/>
        <v>22868.670000000002</v>
      </c>
      <c r="AK50">
        <f t="shared" si="121"/>
        <v>0.22601430683597151</v>
      </c>
      <c r="AL50">
        <f t="shared" si="38"/>
        <v>40.567501634999999</v>
      </c>
      <c r="AM50">
        <f t="shared" si="39"/>
        <v>5.5713144198403265E-3</v>
      </c>
      <c r="AN50">
        <v>21.98</v>
      </c>
      <c r="AO50">
        <f t="shared" si="40"/>
        <v>21980</v>
      </c>
      <c r="AP50">
        <f t="shared" si="41"/>
        <v>28134.400000000001</v>
      </c>
      <c r="AQ50">
        <f t="shared" si="122"/>
        <v>0.2722350163528342</v>
      </c>
      <c r="AR50">
        <f t="shared" si="42"/>
        <v>51.759606732800002</v>
      </c>
      <c r="AS50">
        <f t="shared" si="43"/>
        <v>5.2596036472649472E-3</v>
      </c>
      <c r="AT50" s="1">
        <v>4396</v>
      </c>
      <c r="AU50" s="1">
        <f t="shared" si="44"/>
        <v>4.0421130062985609E-2</v>
      </c>
      <c r="AV50" s="1">
        <f t="shared" si="45"/>
        <v>0.24999185821869963</v>
      </c>
      <c r="AW50" s="1">
        <v>29982</v>
      </c>
      <c r="AX50" s="1">
        <f t="shared" si="46"/>
        <v>36578.04</v>
      </c>
      <c r="AY50" s="1">
        <f t="shared" si="123"/>
        <v>0.33633432945611696</v>
      </c>
      <c r="AZ50" s="1">
        <f t="shared" si="47"/>
        <v>-1.8194479167102019E-2</v>
      </c>
      <c r="BA50" s="1">
        <f t="shared" si="48"/>
        <v>60.4858519474</v>
      </c>
      <c r="BB50" s="1">
        <v>3606</v>
      </c>
      <c r="BC50" s="1">
        <f t="shared" si="49"/>
        <v>4399.32</v>
      </c>
      <c r="BD50" s="1">
        <f t="shared" si="50"/>
        <v>1.0007552320291173</v>
      </c>
      <c r="BE50" s="1">
        <f t="shared" si="51"/>
        <v>0.12027216329797878</v>
      </c>
      <c r="BF50" s="1">
        <f t="shared" si="52"/>
        <v>5.5605454602607176E-3</v>
      </c>
      <c r="BG50" s="1">
        <v>743</v>
      </c>
      <c r="BH50" s="1">
        <f t="shared" si="53"/>
        <v>7.5865096950080155E-3</v>
      </c>
      <c r="BI50" s="1">
        <v>23348.642</v>
      </c>
      <c r="BJ50" s="1">
        <f t="shared" si="124"/>
        <v>0.23840470914975953</v>
      </c>
      <c r="BK50" s="1">
        <v>101.2013381</v>
      </c>
      <c r="BL50" s="1">
        <v>1091.068</v>
      </c>
      <c r="BM50">
        <f t="shared" si="125"/>
        <v>1.4684629878869448</v>
      </c>
      <c r="BN50">
        <f t="shared" si="126"/>
        <v>4.6729398651964425E-2</v>
      </c>
      <c r="BO50">
        <f t="shared" si="54"/>
        <v>2.3557466099330118E-3</v>
      </c>
      <c r="BP50">
        <v>10315</v>
      </c>
      <c r="BQ50">
        <f t="shared" si="55"/>
        <v>13512.650000000001</v>
      </c>
      <c r="BR50">
        <f t="shared" si="127"/>
        <v>0.13354743512705769</v>
      </c>
      <c r="BS50">
        <f t="shared" si="56"/>
        <v>59.525235619600004</v>
      </c>
      <c r="BT50">
        <f t="shared" si="57"/>
        <v>2.2435431584093427E-3</v>
      </c>
      <c r="BU50">
        <v>14.03</v>
      </c>
      <c r="BV50">
        <f t="shared" si="128"/>
        <v>14030</v>
      </c>
      <c r="BW50">
        <f t="shared" si="58"/>
        <v>17958.400000000001</v>
      </c>
      <c r="BX50">
        <f t="shared" si="129"/>
        <v>0.17376966694405202</v>
      </c>
      <c r="BY50">
        <f t="shared" si="59"/>
        <v>76.247206297600002</v>
      </c>
      <c r="BZ50">
        <f t="shared" si="60"/>
        <v>2.2790299524655722E-3</v>
      </c>
      <c r="CA50" s="1">
        <v>978</v>
      </c>
      <c r="CB50" s="1">
        <f t="shared" si="61"/>
        <v>8.9926899912647698E-3</v>
      </c>
      <c r="CC50" s="1">
        <f t="shared" si="62"/>
        <v>0.18535273172879912</v>
      </c>
      <c r="CD50" s="1">
        <v>19035</v>
      </c>
      <c r="CE50" s="1">
        <f t="shared" si="63"/>
        <v>23222.7</v>
      </c>
      <c r="CF50">
        <f t="shared" si="130"/>
        <v>0.21353225139074067</v>
      </c>
      <c r="CG50">
        <f t="shared" si="64"/>
        <v>-0.10432871837021744</v>
      </c>
      <c r="CH50">
        <f t="shared" si="65"/>
        <v>90.917938902799989</v>
      </c>
      <c r="CI50" s="1">
        <v>1294</v>
      </c>
      <c r="CJ50" s="1">
        <f t="shared" si="66"/>
        <v>1578.68</v>
      </c>
      <c r="CK50">
        <f t="shared" si="67"/>
        <v>1.6141922290388548</v>
      </c>
      <c r="CL50">
        <f t="shared" si="68"/>
        <v>6.7980036774363012E-2</v>
      </c>
      <c r="CM50">
        <f t="shared" si="69"/>
        <v>2.3486261783719838E-3</v>
      </c>
      <c r="CN50" s="1">
        <v>3614</v>
      </c>
      <c r="CO50" s="1">
        <f t="shared" si="70"/>
        <v>3.6901273267508708E-2</v>
      </c>
      <c r="CP50" s="1">
        <v>16689917</v>
      </c>
      <c r="CQ50" s="1">
        <f t="shared" si="131"/>
        <v>170.41482789956808</v>
      </c>
      <c r="CR50" s="1">
        <v>108123.0123</v>
      </c>
      <c r="CS50" s="1">
        <v>3413642</v>
      </c>
      <c r="CT50">
        <f t="shared" si="71"/>
        <v>944.56059767570559</v>
      </c>
      <c r="CU50">
        <f t="shared" si="72"/>
        <v>0.20453319210634779</v>
      </c>
      <c r="CV50">
        <f t="shared" si="73"/>
        <v>1.5761198682361173E-3</v>
      </c>
      <c r="CW50" s="1">
        <v>6709</v>
      </c>
      <c r="CX50" s="1">
        <f t="shared" si="74"/>
        <v>6.1689117741713026E-2</v>
      </c>
      <c r="CY50" s="1">
        <f t="shared" si="75"/>
        <v>0.67173412403711896</v>
      </c>
      <c r="CZ50" s="1">
        <v>29573164</v>
      </c>
      <c r="DA50" s="1">
        <f t="shared" si="132"/>
        <v>36079260.079999998</v>
      </c>
      <c r="DB50" s="1">
        <f t="shared" si="133"/>
        <v>331.74805829617026</v>
      </c>
      <c r="DC50" s="1">
        <f t="shared" si="76"/>
        <v>0.94670887730310627</v>
      </c>
      <c r="DD50" s="1">
        <f t="shared" si="77"/>
        <v>93954.54819500001</v>
      </c>
      <c r="DE50" s="1">
        <v>6608254</v>
      </c>
      <c r="DF50" s="1">
        <f t="shared" si="78"/>
        <v>8062069.8799999999</v>
      </c>
      <c r="DG50">
        <f t="shared" si="79"/>
        <v>1201.6798151736473</v>
      </c>
      <c r="DH50">
        <f t="shared" si="80"/>
        <v>0.22345441292653029</v>
      </c>
      <c r="DI50">
        <f t="shared" si="81"/>
        <v>3.530941978536649E-3</v>
      </c>
      <c r="DJ50" s="1">
        <v>1496447</v>
      </c>
      <c r="DK50">
        <f t="shared" si="134"/>
        <v>15.279690004799004</v>
      </c>
      <c r="DL50">
        <v>1889.3069949999999</v>
      </c>
      <c r="DM50" s="1">
        <v>221820</v>
      </c>
      <c r="DN50" s="3">
        <f t="shared" si="82"/>
        <v>8.0874574885057282E-3</v>
      </c>
      <c r="DO50" s="1">
        <v>1594997</v>
      </c>
      <c r="DP50" s="1">
        <f t="shared" si="83"/>
        <v>1945896.3399999999</v>
      </c>
      <c r="DQ50" s="3">
        <f t="shared" si="135"/>
        <v>17.892477035538594</v>
      </c>
      <c r="DR50" s="3">
        <f t="shared" si="84"/>
        <v>1905.8896083399998</v>
      </c>
      <c r="DS50" s="3">
        <f t="shared" si="85"/>
        <v>523505.35077339783</v>
      </c>
      <c r="DT50" s="3">
        <f t="shared" si="86"/>
        <v>9.3879923355700869E-3</v>
      </c>
      <c r="DU50" s="3">
        <f t="shared" si="87"/>
        <v>2.3600457613082582</v>
      </c>
      <c r="DV50" s="3">
        <f t="shared" si="88"/>
        <v>358.59070352519421</v>
      </c>
      <c r="DW50" s="3">
        <f t="shared" si="89"/>
        <v>0.12969506600125949</v>
      </c>
      <c r="DX50" s="3">
        <f t="shared" si="90"/>
        <v>18243262.642000001</v>
      </c>
      <c r="DY50" s="3">
        <f t="shared" si="91"/>
        <v>186.27548977403842</v>
      </c>
      <c r="DZ50" s="3">
        <f t="shared" si="92"/>
        <v>18186364</v>
      </c>
      <c r="EA50" s="3">
        <f t="shared" si="93"/>
        <v>36381.320000000007</v>
      </c>
      <c r="EB50" s="3">
        <f t="shared" si="94"/>
        <v>0.35956174196302926</v>
      </c>
      <c r="EC50" s="3">
        <f t="shared" si="95"/>
        <v>46092.800000000003</v>
      </c>
      <c r="ED50" s="3">
        <f t="shared" si="96"/>
        <v>0.4460046832968862</v>
      </c>
      <c r="EE50" s="9">
        <f t="shared" si="97"/>
        <v>38084957.159999996</v>
      </c>
      <c r="EF50" s="13">
        <f t="shared" si="98"/>
        <v>350.19040191255573</v>
      </c>
      <c r="EG50" s="14">
        <f t="shared" si="99"/>
        <v>0.87995963579188208</v>
      </c>
      <c r="EH50" s="9">
        <f t="shared" si="100"/>
        <v>38025156.420000002</v>
      </c>
      <c r="EI50" s="10">
        <v>96452</v>
      </c>
      <c r="EJ50" s="10">
        <f t="shared" si="136"/>
        <v>126352.12000000001</v>
      </c>
      <c r="EK50" s="10">
        <f t="shared" si="101"/>
        <v>1.248755910118756</v>
      </c>
      <c r="EL50" s="10">
        <v>67000</v>
      </c>
      <c r="EM50" s="10">
        <f t="shared" si="137"/>
        <v>85760</v>
      </c>
      <c r="EN50" s="10">
        <f t="shared" si="102"/>
        <v>0.82983376231300676</v>
      </c>
      <c r="EO50" s="11">
        <v>1209011</v>
      </c>
      <c r="EP50" s="11">
        <f t="shared" si="138"/>
        <v>1474993.42</v>
      </c>
      <c r="EQ50" s="11">
        <f t="shared" si="103"/>
        <v>13.562534320261136</v>
      </c>
      <c r="ER50" s="10">
        <f t="shared" si="104"/>
        <v>15.641123992692899</v>
      </c>
      <c r="ES50" s="10">
        <f t="shared" si="115"/>
        <v>17.199083722014926</v>
      </c>
      <c r="ET50" s="12">
        <v>149418</v>
      </c>
      <c r="EU50" s="12">
        <f t="shared" si="139"/>
        <v>195737.58000000002</v>
      </c>
      <c r="EV50" s="12">
        <f t="shared" si="105"/>
        <v>1.9345022454498018</v>
      </c>
      <c r="EW50" s="10">
        <v>17000</v>
      </c>
      <c r="EX50" s="10">
        <f t="shared" si="140"/>
        <v>21760</v>
      </c>
      <c r="EY50" s="10">
        <f t="shared" si="106"/>
        <v>0.21055483521374799</v>
      </c>
      <c r="EZ50" s="3">
        <f t="shared" si="107"/>
        <v>292384.42327425373</v>
      </c>
      <c r="FA50" s="3">
        <f t="shared" si="108"/>
        <v>2.688468790163705</v>
      </c>
      <c r="FB50" s="3">
        <f t="shared" si="109"/>
        <v>4.8335258708272546</v>
      </c>
      <c r="FC50" s="1">
        <f t="shared" si="110"/>
        <v>0.1923</v>
      </c>
      <c r="FD50">
        <f>2/10</f>
        <v>0.2</v>
      </c>
      <c r="FE50">
        <f>2.3</f>
        <v>2.2999999999999998</v>
      </c>
      <c r="FF50" s="7">
        <f t="shared" si="111"/>
        <v>7.5499999999999989</v>
      </c>
      <c r="FG50" s="1">
        <f t="shared" si="112"/>
        <v>1.0499999999999998</v>
      </c>
      <c r="FH50">
        <v>2.63E-2</v>
      </c>
      <c r="FI50">
        <v>3.4000000000000002E-2</v>
      </c>
      <c r="FJ50">
        <v>4.41E-2</v>
      </c>
      <c r="FK50">
        <v>4.0899999999999999E-2</v>
      </c>
      <c r="FL50" s="1">
        <f t="shared" si="113"/>
        <v>2.5666666666666672E-3</v>
      </c>
    </row>
    <row r="51" spans="1:310">
      <c r="A51" t="s">
        <v>129</v>
      </c>
      <c r="B51" s="1" t="s">
        <v>80</v>
      </c>
      <c r="C51" s="1">
        <v>111681</v>
      </c>
      <c r="D51" s="6">
        <f t="shared" si="141"/>
        <v>116119.2</v>
      </c>
      <c r="E51" s="6">
        <f t="shared" si="142"/>
        <v>119078</v>
      </c>
      <c r="F51" s="1">
        <v>126475</v>
      </c>
      <c r="G51" s="1">
        <f t="shared" si="119"/>
        <v>1479.4</v>
      </c>
      <c r="H51" s="1">
        <v>1.31</v>
      </c>
      <c r="I51" s="1">
        <v>1.28</v>
      </c>
      <c r="J51" s="1">
        <v>1.22</v>
      </c>
      <c r="K51">
        <v>48140</v>
      </c>
      <c r="L51">
        <f t="shared" si="24"/>
        <v>0.43104914891521384</v>
      </c>
      <c r="M51" s="1">
        <v>49809</v>
      </c>
      <c r="N51">
        <f t="shared" si="25"/>
        <v>0.39382486657442184</v>
      </c>
      <c r="O51">
        <f t="shared" si="26"/>
        <v>-8.6357396678479262E-2</v>
      </c>
      <c r="P51">
        <f t="shared" si="27"/>
        <v>4.8976750179416474E-2</v>
      </c>
      <c r="Q51">
        <f t="shared" si="28"/>
        <v>2.5008170986559968E-3</v>
      </c>
      <c r="R51">
        <f t="shared" si="29"/>
        <v>652.90771408641058</v>
      </c>
      <c r="S51">
        <f t="shared" si="30"/>
        <v>0.26276656241114588</v>
      </c>
      <c r="T51">
        <f t="shared" si="31"/>
        <v>2739.8441440621054</v>
      </c>
      <c r="U51">
        <v>92297.113769999996</v>
      </c>
      <c r="V51">
        <f t="shared" si="32"/>
        <v>2.9685046824862435E-2</v>
      </c>
      <c r="W51">
        <f t="shared" si="33"/>
        <v>0.72391650523818929</v>
      </c>
      <c r="X51">
        <v>79429.064259999999</v>
      </c>
      <c r="Y51">
        <f t="shared" si="34"/>
        <v>9.1140001708763588E-6</v>
      </c>
      <c r="Z51" s="1">
        <v>3155</v>
      </c>
      <c r="AA51" s="1">
        <f t="shared" si="35"/>
        <v>2.8250105210375982E-2</v>
      </c>
      <c r="AB51" s="1">
        <v>34797</v>
      </c>
      <c r="AC51" s="1">
        <f t="shared" si="120"/>
        <v>0.31157493217288529</v>
      </c>
      <c r="AD51" s="1">
        <v>61.278341249999997</v>
      </c>
      <c r="AE51" s="1">
        <v>4152</v>
      </c>
      <c r="AF51">
        <f t="shared" si="114"/>
        <v>1.3160063391442156</v>
      </c>
      <c r="AG51">
        <f t="shared" si="36"/>
        <v>0.11932063108888698</v>
      </c>
      <c r="AH51">
        <f t="shared" si="116"/>
        <v>5.0845849580317308E-3</v>
      </c>
      <c r="AI51">
        <v>17897</v>
      </c>
      <c r="AJ51">
        <f t="shared" si="37"/>
        <v>23445.07</v>
      </c>
      <c r="AK51">
        <f t="shared" si="121"/>
        <v>0.20190519741782581</v>
      </c>
      <c r="AL51">
        <f t="shared" si="38"/>
        <v>40.567501634999999</v>
      </c>
      <c r="AM51">
        <f t="shared" si="39"/>
        <v>4.9770182850903044E-3</v>
      </c>
      <c r="AN51">
        <v>25.52</v>
      </c>
      <c r="AO51">
        <f t="shared" si="40"/>
        <v>25520</v>
      </c>
      <c r="AP51">
        <f t="shared" si="41"/>
        <v>32665.600000000002</v>
      </c>
      <c r="AQ51">
        <f t="shared" si="122"/>
        <v>0.27432103327230895</v>
      </c>
      <c r="AR51">
        <f t="shared" si="42"/>
        <v>51.759606732800002</v>
      </c>
      <c r="AS51">
        <f t="shared" si="43"/>
        <v>5.2999056713943704E-3</v>
      </c>
      <c r="AT51" s="1">
        <v>4473</v>
      </c>
      <c r="AU51" s="1">
        <f t="shared" si="44"/>
        <v>3.5366673255584111E-2</v>
      </c>
      <c r="AV51" s="1">
        <f t="shared" si="45"/>
        <v>0.25191297491502029</v>
      </c>
      <c r="AW51" s="1">
        <v>32665</v>
      </c>
      <c r="AX51" s="1">
        <f t="shared" si="46"/>
        <v>39851.299999999996</v>
      </c>
      <c r="AY51" s="1">
        <f t="shared" si="123"/>
        <v>0.31509231073334648</v>
      </c>
      <c r="AZ51" s="1">
        <f t="shared" si="47"/>
        <v>1.12890293706603E-2</v>
      </c>
      <c r="BA51" s="1">
        <f t="shared" si="48"/>
        <v>60.4858519474</v>
      </c>
      <c r="BB51" s="1">
        <v>3746</v>
      </c>
      <c r="BC51" s="1">
        <f t="shared" si="49"/>
        <v>4570.12</v>
      </c>
      <c r="BD51" s="1">
        <f t="shared" si="50"/>
        <v>1.021712497205455</v>
      </c>
      <c r="BE51" s="1">
        <f t="shared" si="51"/>
        <v>0.11467932037348845</v>
      </c>
      <c r="BF51" s="1">
        <f t="shared" si="52"/>
        <v>5.2093555862841876E-3</v>
      </c>
      <c r="BG51" s="1">
        <v>1377</v>
      </c>
      <c r="BH51" s="1">
        <f t="shared" si="53"/>
        <v>1.2329760657587235E-2</v>
      </c>
      <c r="BI51" s="1">
        <v>38866.853000000003</v>
      </c>
      <c r="BJ51" s="1">
        <f t="shared" si="124"/>
        <v>0.34801669934903878</v>
      </c>
      <c r="BK51" s="1">
        <v>101.2013381</v>
      </c>
      <c r="BL51" s="1">
        <v>1620.2380000000001</v>
      </c>
      <c r="BM51">
        <f t="shared" si="125"/>
        <v>1.176643427741467</v>
      </c>
      <c r="BN51">
        <f t="shared" si="126"/>
        <v>4.1686884194097218E-2</v>
      </c>
      <c r="BO51">
        <f t="shared" si="54"/>
        <v>3.4388547215171532E-3</v>
      </c>
      <c r="BP51">
        <v>18659</v>
      </c>
      <c r="BQ51">
        <f t="shared" si="55"/>
        <v>24443.29</v>
      </c>
      <c r="BR51">
        <f t="shared" si="127"/>
        <v>0.210501708589105</v>
      </c>
      <c r="BS51">
        <f t="shared" si="56"/>
        <v>59.525235619600004</v>
      </c>
      <c r="BT51">
        <f t="shared" si="57"/>
        <v>3.5363439791205572E-3</v>
      </c>
      <c r="BU51">
        <v>33.21</v>
      </c>
      <c r="BV51">
        <f t="shared" si="128"/>
        <v>33210</v>
      </c>
      <c r="BW51">
        <f t="shared" si="58"/>
        <v>42508.800000000003</v>
      </c>
      <c r="BX51">
        <f t="shared" si="129"/>
        <v>0.35698281798485026</v>
      </c>
      <c r="BY51">
        <f t="shared" si="59"/>
        <v>76.247206297600002</v>
      </c>
      <c r="BZ51">
        <f t="shared" si="60"/>
        <v>4.6819134145258097E-3</v>
      </c>
      <c r="CA51" s="1">
        <v>2590</v>
      </c>
      <c r="CB51" s="1">
        <f t="shared" si="61"/>
        <v>2.0478355406206759E-2</v>
      </c>
      <c r="CC51" s="1">
        <f t="shared" si="62"/>
        <v>0.66088831526548808</v>
      </c>
      <c r="CD51" s="1">
        <v>42382</v>
      </c>
      <c r="CE51" s="1">
        <f t="shared" si="63"/>
        <v>51706.04</v>
      </c>
      <c r="CF51">
        <f t="shared" si="130"/>
        <v>0.40882419450484286</v>
      </c>
      <c r="CG51">
        <f t="shared" si="64"/>
        <v>0.17472579697912141</v>
      </c>
      <c r="CH51">
        <f t="shared" si="65"/>
        <v>90.917938902799989</v>
      </c>
      <c r="CI51" s="1">
        <v>2314</v>
      </c>
      <c r="CJ51" s="1">
        <f t="shared" si="66"/>
        <v>2823.08</v>
      </c>
      <c r="CK51">
        <f t="shared" si="67"/>
        <v>1.0899922779922779</v>
      </c>
      <c r="CL51">
        <f t="shared" si="68"/>
        <v>5.4598650370440281E-2</v>
      </c>
      <c r="CM51">
        <f t="shared" si="69"/>
        <v>4.4966284920065691E-3</v>
      </c>
      <c r="CN51" s="1">
        <v>18405</v>
      </c>
      <c r="CO51" s="1">
        <f t="shared" si="70"/>
        <v>0.16479974212265291</v>
      </c>
      <c r="CP51" s="1">
        <v>305914870</v>
      </c>
      <c r="CQ51" s="1">
        <f t="shared" si="131"/>
        <v>2739.1845524305836</v>
      </c>
      <c r="CR51" s="1">
        <v>108123.0123</v>
      </c>
      <c r="CS51" s="1">
        <v>14969972</v>
      </c>
      <c r="CT51">
        <f t="shared" si="71"/>
        <v>813.36441184460739</v>
      </c>
      <c r="CU51">
        <f t="shared" si="72"/>
        <v>4.8935090994432537E-2</v>
      </c>
      <c r="CV51">
        <f t="shared" si="73"/>
        <v>2.5333964474004794E-2</v>
      </c>
      <c r="CW51" s="1">
        <v>21073</v>
      </c>
      <c r="CX51" s="1">
        <f t="shared" si="74"/>
        <v>0.16661790867760426</v>
      </c>
      <c r="CY51" s="1">
        <f t="shared" si="75"/>
        <v>1.1032581310704762E-2</v>
      </c>
      <c r="DB51" s="1">
        <f t="shared" si="133"/>
        <v>0</v>
      </c>
      <c r="DC51" s="1">
        <f t="shared" si="76"/>
        <v>-1</v>
      </c>
      <c r="DD51" s="1">
        <f t="shared" si="77"/>
        <v>93954.54819500001</v>
      </c>
      <c r="DF51" s="1">
        <f t="shared" si="78"/>
        <v>0</v>
      </c>
      <c r="DG51">
        <v>0</v>
      </c>
      <c r="DI51">
        <f t="shared" si="81"/>
        <v>0</v>
      </c>
      <c r="DJ51" s="1">
        <v>2839475</v>
      </c>
      <c r="DK51">
        <f t="shared" si="134"/>
        <v>25.424870837474593</v>
      </c>
      <c r="DL51">
        <v>1889.3069949999999</v>
      </c>
      <c r="DM51" s="1">
        <v>149648</v>
      </c>
      <c r="DN51" s="3">
        <f t="shared" si="82"/>
        <v>1.3457246971911304E-2</v>
      </c>
      <c r="DO51" s="1">
        <v>2348161</v>
      </c>
      <c r="DP51" s="1">
        <f t="shared" si="83"/>
        <v>2864756.42</v>
      </c>
      <c r="DQ51" s="3">
        <f t="shared" si="135"/>
        <v>22.65077224747974</v>
      </c>
      <c r="DR51" s="3">
        <f t="shared" si="84"/>
        <v>1905.8896083399998</v>
      </c>
      <c r="DS51" s="3">
        <f t="shared" si="85"/>
        <v>73.877970671576847</v>
      </c>
      <c r="DT51" s="3">
        <f t="shared" si="86"/>
        <v>1.1884619207934195E-2</v>
      </c>
      <c r="DU51" s="3">
        <f t="shared" si="87"/>
        <v>4.9367830289463841E-4</v>
      </c>
      <c r="DV51" s="3">
        <f t="shared" si="88"/>
        <v>136.32812773111513</v>
      </c>
      <c r="DW51" s="3">
        <f t="shared" si="89"/>
        <v>6.3203429503557576E-2</v>
      </c>
      <c r="DX51" s="3">
        <f t="shared" si="90"/>
        <v>308828008.85299999</v>
      </c>
      <c r="DY51" s="3">
        <f t="shared" si="91"/>
        <v>2765.2690148995798</v>
      </c>
      <c r="DZ51" s="3">
        <f t="shared" si="92"/>
        <v>308754345</v>
      </c>
      <c r="EA51" s="3">
        <f t="shared" si="93"/>
        <v>47888.36</v>
      </c>
      <c r="EB51" s="3">
        <f t="shared" si="94"/>
        <v>0.41240690600693081</v>
      </c>
      <c r="EC51" s="3">
        <f t="shared" si="95"/>
        <v>75174.400000000009</v>
      </c>
      <c r="ED51" s="3">
        <f t="shared" si="96"/>
        <v>0.63130385125715927</v>
      </c>
      <c r="EE51" s="9">
        <f t="shared" si="97"/>
        <v>2956313.76</v>
      </c>
      <c r="EF51" s="13">
        <f t="shared" si="98"/>
        <v>23.374688752717926</v>
      </c>
      <c r="EG51" s="14">
        <f t="shared" si="99"/>
        <v>-0.99154704709495811</v>
      </c>
      <c r="EH51" s="9">
        <f t="shared" si="100"/>
        <v>2864756.42</v>
      </c>
      <c r="EI51" s="10">
        <v>97985</v>
      </c>
      <c r="EJ51" s="10">
        <f t="shared" si="136"/>
        <v>128360.35</v>
      </c>
      <c r="EK51" s="10">
        <f t="shared" si="101"/>
        <v>1.1054188282385686</v>
      </c>
      <c r="EL51" s="10">
        <v>73000</v>
      </c>
      <c r="EM51" s="10">
        <f t="shared" si="137"/>
        <v>93440</v>
      </c>
      <c r="EN51" s="10">
        <f t="shared" si="102"/>
        <v>0.78469574564571121</v>
      </c>
      <c r="EO51" s="11">
        <v>1040145</v>
      </c>
      <c r="EP51" s="11">
        <f t="shared" si="138"/>
        <v>1268976.8999999999</v>
      </c>
      <c r="EQ51" s="11">
        <f t="shared" si="103"/>
        <v>10.033420834156948</v>
      </c>
      <c r="ER51" s="10">
        <f t="shared" si="104"/>
        <v>11.923535408041227</v>
      </c>
      <c r="ES51" s="10">
        <f t="shared" si="115"/>
        <v>13.58066031678082</v>
      </c>
      <c r="ET51" s="12">
        <v>321715</v>
      </c>
      <c r="EU51" s="12">
        <f t="shared" si="139"/>
        <v>421446.65</v>
      </c>
      <c r="EV51" s="12">
        <f t="shared" si="105"/>
        <v>3.6294312223990524</v>
      </c>
      <c r="EW51" s="10">
        <v>90000</v>
      </c>
      <c r="EX51" s="10">
        <f t="shared" si="140"/>
        <v>115200</v>
      </c>
      <c r="EY51" s="10">
        <f t="shared" si="106"/>
        <v>0.96743311107005492</v>
      </c>
      <c r="EZ51" s="3">
        <f t="shared" si="107"/>
        <v>1222259.4285102738</v>
      </c>
      <c r="FA51" s="3">
        <f t="shared" si="108"/>
        <v>9.6640397589268527</v>
      </c>
      <c r="FB51" s="3">
        <f t="shared" si="109"/>
        <v>14.260904092395961</v>
      </c>
      <c r="FC51" s="1">
        <f t="shared" si="110"/>
        <v>0.21129999999999999</v>
      </c>
      <c r="FD51">
        <f>2.19/10</f>
        <v>0.219</v>
      </c>
      <c r="FE51">
        <f>2.4</f>
        <v>2.4</v>
      </c>
      <c r="FF51" s="7">
        <f t="shared" si="111"/>
        <v>7.8525000000000009</v>
      </c>
      <c r="FG51" s="1">
        <f t="shared" si="112"/>
        <v>1.0905</v>
      </c>
      <c r="FH51">
        <v>2.63E-2</v>
      </c>
      <c r="FI51">
        <v>3.4000000000000002E-2</v>
      </c>
      <c r="FJ51">
        <v>4.41E-2</v>
      </c>
      <c r="FK51">
        <v>4.0899999999999999E-2</v>
      </c>
      <c r="FL51" s="1">
        <f t="shared" si="113"/>
        <v>2.5666666666666672E-3</v>
      </c>
    </row>
    <row r="52" spans="1:310">
      <c r="A52" t="s">
        <v>129</v>
      </c>
      <c r="B52" s="1" t="s">
        <v>81</v>
      </c>
      <c r="C52" s="1">
        <v>133010</v>
      </c>
      <c r="D52" s="6">
        <f t="shared" si="141"/>
        <v>139281.79999999999</v>
      </c>
      <c r="E52" s="6">
        <f t="shared" si="142"/>
        <v>143463</v>
      </c>
      <c r="F52" s="1">
        <v>153916</v>
      </c>
      <c r="G52" s="1">
        <f t="shared" si="119"/>
        <v>2090.6</v>
      </c>
      <c r="H52" s="1">
        <v>1.31</v>
      </c>
      <c r="I52" s="1">
        <v>1.28</v>
      </c>
      <c r="J52" s="1">
        <v>1.22</v>
      </c>
      <c r="K52">
        <v>55001</v>
      </c>
      <c r="L52">
        <f t="shared" si="24"/>
        <v>0.41351026238628674</v>
      </c>
      <c r="M52" s="1">
        <v>63958</v>
      </c>
      <c r="N52">
        <f t="shared" si="25"/>
        <v>0.41553834559110164</v>
      </c>
      <c r="O52">
        <f t="shared" si="26"/>
        <v>4.9045535003441757E-3</v>
      </c>
      <c r="P52">
        <f t="shared" si="27"/>
        <v>0.16671080419844683</v>
      </c>
      <c r="Q52">
        <f t="shared" si="28"/>
        <v>0.21054376010820988</v>
      </c>
      <c r="R52">
        <f t="shared" si="29"/>
        <v>670.78196225568206</v>
      </c>
      <c r="S52">
        <f t="shared" si="30"/>
        <v>722.81119789778893</v>
      </c>
      <c r="T52">
        <f t="shared" si="31"/>
        <v>728.04397973084724</v>
      </c>
      <c r="U52">
        <v>92297.113769999996</v>
      </c>
      <c r="V52">
        <f t="shared" si="32"/>
        <v>7.8880470904550502E-3</v>
      </c>
      <c r="W52">
        <f t="shared" si="33"/>
        <v>706.31739728163404</v>
      </c>
      <c r="X52">
        <v>79429.064259999999</v>
      </c>
      <c r="Y52">
        <f t="shared" si="34"/>
        <v>8.8924300426050876E-3</v>
      </c>
      <c r="Z52" s="1">
        <v>3957</v>
      </c>
      <c r="AA52" s="1">
        <f t="shared" si="35"/>
        <v>2.9749642883993684E-2</v>
      </c>
      <c r="AB52" s="1">
        <v>44287</v>
      </c>
      <c r="AC52" s="1">
        <f t="shared" si="120"/>
        <v>0.33295992782497558</v>
      </c>
      <c r="AD52" s="1">
        <v>61.278341249999997</v>
      </c>
      <c r="AE52" s="1">
        <v>5150</v>
      </c>
      <c r="AF52">
        <f t="shared" si="114"/>
        <v>1.3014910285569876</v>
      </c>
      <c r="AG52">
        <f t="shared" si="36"/>
        <v>0.11628694650800461</v>
      </c>
      <c r="AH52">
        <f t="shared" si="116"/>
        <v>5.4335662655518695E-3</v>
      </c>
      <c r="AI52">
        <v>26732</v>
      </c>
      <c r="AJ52">
        <f t="shared" si="37"/>
        <v>35018.92</v>
      </c>
      <c r="AK52">
        <f t="shared" si="121"/>
        <v>0.25142495286534206</v>
      </c>
      <c r="AL52">
        <f t="shared" si="38"/>
        <v>40.567501634999999</v>
      </c>
      <c r="AM52">
        <f t="shared" si="39"/>
        <v>6.1976937876899669E-3</v>
      </c>
      <c r="AN52">
        <v>32.340000000000003</v>
      </c>
      <c r="AO52">
        <f t="shared" si="40"/>
        <v>32340.000000000004</v>
      </c>
      <c r="AP52">
        <f t="shared" si="41"/>
        <v>41395.200000000004</v>
      </c>
      <c r="AQ52">
        <f t="shared" si="122"/>
        <v>0.28854269044980241</v>
      </c>
      <c r="AR52">
        <f t="shared" si="42"/>
        <v>51.759606732800002</v>
      </c>
      <c r="AS52">
        <f t="shared" si="43"/>
        <v>5.5746692964526185E-3</v>
      </c>
      <c r="AT52" s="1">
        <v>6057</v>
      </c>
      <c r="AU52" s="1">
        <f t="shared" si="44"/>
        <v>3.9352633904207492E-2</v>
      </c>
      <c r="AV52" s="1">
        <f t="shared" si="45"/>
        <v>0.32279348890539261</v>
      </c>
      <c r="AW52" s="1">
        <v>44282</v>
      </c>
      <c r="AX52" s="1">
        <f t="shared" si="46"/>
        <v>54024.04</v>
      </c>
      <c r="AY52" s="1">
        <f t="shared" si="123"/>
        <v>0.35099690740403855</v>
      </c>
      <c r="AZ52" s="1">
        <f t="shared" si="47"/>
        <v>5.4171622684109695E-2</v>
      </c>
      <c r="BA52" s="1">
        <f t="shared" si="48"/>
        <v>60.4858519474</v>
      </c>
      <c r="BB52" s="1">
        <v>5104</v>
      </c>
      <c r="BC52" s="1">
        <f t="shared" si="49"/>
        <v>6226.88</v>
      </c>
      <c r="BD52" s="1">
        <f t="shared" si="50"/>
        <v>1.0280468878982996</v>
      </c>
      <c r="BE52" s="1">
        <f t="shared" si="51"/>
        <v>0.11526127997832077</v>
      </c>
      <c r="BF52" s="1">
        <f t="shared" si="52"/>
        <v>5.8029588094299176E-3</v>
      </c>
      <c r="BG52" s="1">
        <v>1281</v>
      </c>
      <c r="BH52" s="1">
        <f t="shared" si="53"/>
        <v>9.6308548229456434E-3</v>
      </c>
      <c r="BI52" s="1">
        <v>64581.743999999999</v>
      </c>
      <c r="BJ52" s="1">
        <f t="shared" si="124"/>
        <v>0.4855405157506954</v>
      </c>
      <c r="BK52" s="1">
        <v>101.2013381</v>
      </c>
      <c r="BL52" s="1">
        <v>2401.549</v>
      </c>
      <c r="BM52">
        <f t="shared" si="125"/>
        <v>1.8747455113192817</v>
      </c>
      <c r="BN52">
        <f t="shared" si="126"/>
        <v>3.7186189954857833E-2</v>
      </c>
      <c r="BO52">
        <f t="shared" si="54"/>
        <v>4.7977677456291995E-3</v>
      </c>
      <c r="BP52">
        <v>41190</v>
      </c>
      <c r="BQ52">
        <f t="shared" si="55"/>
        <v>53958.9</v>
      </c>
      <c r="BR52">
        <f t="shared" si="127"/>
        <v>0.38740811793069879</v>
      </c>
      <c r="BS52">
        <f t="shared" si="56"/>
        <v>59.525235619600004</v>
      </c>
      <c r="BT52">
        <f t="shared" si="57"/>
        <v>6.5083004527097758E-3</v>
      </c>
      <c r="BU52">
        <v>49.12</v>
      </c>
      <c r="BV52">
        <f t="shared" si="128"/>
        <v>49120</v>
      </c>
      <c r="BW52">
        <f t="shared" si="58"/>
        <v>62873.599999999999</v>
      </c>
      <c r="BX52">
        <f t="shared" si="129"/>
        <v>0.43825655395467822</v>
      </c>
      <c r="BY52">
        <f t="shared" si="59"/>
        <v>76.247206297600002</v>
      </c>
      <c r="BZ52">
        <f t="shared" si="60"/>
        <v>5.7478375305204197E-3</v>
      </c>
      <c r="CA52" s="1">
        <v>1875</v>
      </c>
      <c r="CB52" s="1">
        <f t="shared" si="61"/>
        <v>1.2181969385898802E-2</v>
      </c>
      <c r="CC52" s="1">
        <f t="shared" si="62"/>
        <v>0.26488973303544072</v>
      </c>
      <c r="CD52" s="1">
        <v>72030</v>
      </c>
      <c r="CE52" s="1">
        <f t="shared" si="63"/>
        <v>87876.599999999991</v>
      </c>
      <c r="CF52">
        <f t="shared" si="130"/>
        <v>0.57093869383299978</v>
      </c>
      <c r="CG52">
        <f t="shared" si="64"/>
        <v>0.17588270249758672</v>
      </c>
      <c r="CH52">
        <f t="shared" si="65"/>
        <v>90.917938902799989</v>
      </c>
      <c r="CI52" s="1">
        <v>3169</v>
      </c>
      <c r="CJ52" s="1">
        <f t="shared" si="66"/>
        <v>3866.18</v>
      </c>
      <c r="CK52">
        <f t="shared" si="67"/>
        <v>2.0619626666666666</v>
      </c>
      <c r="CL52">
        <f t="shared" si="68"/>
        <v>4.3995557406636125E-2</v>
      </c>
      <c r="CM52">
        <f t="shared" si="69"/>
        <v>6.2797144405504846E-3</v>
      </c>
      <c r="CN52" s="1">
        <v>19269</v>
      </c>
      <c r="CO52" s="1">
        <f t="shared" si="70"/>
        <v>0.14486880685662731</v>
      </c>
      <c r="CP52" s="1">
        <v>96728261</v>
      </c>
      <c r="CQ52" s="1">
        <f t="shared" si="131"/>
        <v>727.22547928727158</v>
      </c>
      <c r="CR52" s="1">
        <v>108123.0123</v>
      </c>
      <c r="CS52" s="1">
        <v>16431302</v>
      </c>
      <c r="CT52">
        <f t="shared" si="71"/>
        <v>852.73247184597017</v>
      </c>
      <c r="CU52">
        <f t="shared" si="72"/>
        <v>0.16987074749539849</v>
      </c>
      <c r="CV52">
        <f t="shared" si="73"/>
        <v>6.7259084242815865E-3</v>
      </c>
      <c r="CW52" s="1">
        <v>25176</v>
      </c>
      <c r="CX52" s="1">
        <f t="shared" si="74"/>
        <v>0.1635697393383404</v>
      </c>
      <c r="CY52" s="1">
        <f t="shared" si="75"/>
        <v>0.12908874510315316</v>
      </c>
      <c r="CZ52" s="1">
        <v>88993154</v>
      </c>
      <c r="DA52" s="1">
        <f t="shared" ref="DA52:DA78" si="143">CZ52*J52</f>
        <v>108571647.88</v>
      </c>
      <c r="DB52" s="1">
        <f t="shared" si="133"/>
        <v>705.39546168039703</v>
      </c>
      <c r="DC52" s="1">
        <f t="shared" si="76"/>
        <v>-3.0018224372816791E-2</v>
      </c>
      <c r="DD52" s="1">
        <f t="shared" si="77"/>
        <v>93954.54819500001</v>
      </c>
      <c r="DE52" s="1">
        <v>19607164</v>
      </c>
      <c r="DF52" s="1">
        <f t="shared" si="78"/>
        <v>23920740.079999998</v>
      </c>
      <c r="DG52">
        <f t="shared" si="79"/>
        <v>950.14061328249124</v>
      </c>
      <c r="DH52">
        <f t="shared" si="80"/>
        <v>0.22032216096083077</v>
      </c>
      <c r="DI52">
        <f t="shared" si="81"/>
        <v>7.5078373025259902E-3</v>
      </c>
      <c r="DJ52" s="1">
        <v>3359343</v>
      </c>
      <c r="DK52">
        <f t="shared" si="134"/>
        <v>25.256319073753854</v>
      </c>
      <c r="DL52">
        <v>1889.3069949999999</v>
      </c>
      <c r="DM52" s="1">
        <v>264981</v>
      </c>
      <c r="DN52" s="3">
        <f t="shared" si="82"/>
        <v>1.3368033432678766E-2</v>
      </c>
      <c r="DO52" s="1">
        <v>4056140</v>
      </c>
      <c r="DP52" s="1">
        <f t="shared" si="83"/>
        <v>4948490.8</v>
      </c>
      <c r="DQ52" s="3">
        <f t="shared" si="135"/>
        <v>32.150593830401</v>
      </c>
      <c r="DR52" s="3">
        <f t="shared" si="84"/>
        <v>1905.8896083399998</v>
      </c>
      <c r="DS52" s="3">
        <f t="shared" si="85"/>
        <v>385745.64079963381</v>
      </c>
      <c r="DT52" s="3">
        <f t="shared" si="86"/>
        <v>1.6869074520220333E-2</v>
      </c>
      <c r="DU52" s="3">
        <f t="shared" si="87"/>
        <v>1.4557483019523429</v>
      </c>
      <c r="DV52" s="3">
        <f t="shared" si="88"/>
        <v>301.52322187048372</v>
      </c>
      <c r="DW52" s="3">
        <f t="shared" si="89"/>
        <v>0.11715381371734145</v>
      </c>
      <c r="DX52" s="3">
        <f t="shared" si="90"/>
        <v>100196472.744</v>
      </c>
      <c r="DY52" s="3">
        <f t="shared" si="91"/>
        <v>753.3002988046012</v>
      </c>
      <c r="DZ52" s="3">
        <f t="shared" si="92"/>
        <v>100087604</v>
      </c>
      <c r="EA52" s="3">
        <f t="shared" si="93"/>
        <v>88977.82</v>
      </c>
      <c r="EB52" s="3">
        <f t="shared" si="94"/>
        <v>0.6388330707960409</v>
      </c>
      <c r="EC52" s="3">
        <f t="shared" si="95"/>
        <v>104268.8</v>
      </c>
      <c r="ED52" s="3">
        <f t="shared" si="96"/>
        <v>0.72679924440448063</v>
      </c>
      <c r="EE52" s="9">
        <f t="shared" si="97"/>
        <v>113662039.31999999</v>
      </c>
      <c r="EF52" s="13">
        <f t="shared" si="98"/>
        <v>738.46799111203507</v>
      </c>
      <c r="EG52" s="14">
        <f t="shared" si="99"/>
        <v>-1.9689767435514437E-2</v>
      </c>
      <c r="EH52" s="9">
        <f t="shared" si="100"/>
        <v>113520138.67999999</v>
      </c>
      <c r="EI52" s="10">
        <v>147631</v>
      </c>
      <c r="EJ52" s="10">
        <f t="shared" si="136"/>
        <v>193396.61000000002</v>
      </c>
      <c r="EK52" s="10">
        <f t="shared" si="101"/>
        <v>1.3885275032344502</v>
      </c>
      <c r="EL52" s="10">
        <v>60000</v>
      </c>
      <c r="EM52" s="10">
        <f t="shared" si="137"/>
        <v>76800</v>
      </c>
      <c r="EN52" s="10">
        <f t="shared" si="102"/>
        <v>0.5353296668827503</v>
      </c>
      <c r="EO52" s="11">
        <v>761088</v>
      </c>
      <c r="EP52" s="11">
        <f t="shared" si="138"/>
        <v>928527.35999999999</v>
      </c>
      <c r="EQ52" s="11">
        <f t="shared" si="103"/>
        <v>6.0326889991943657</v>
      </c>
      <c r="ER52" s="10">
        <f t="shared" si="104"/>
        <v>7.956546169311566</v>
      </c>
      <c r="ES52" s="10">
        <f t="shared" si="115"/>
        <v>12.090199999999999</v>
      </c>
      <c r="ET52" s="12">
        <v>478781</v>
      </c>
      <c r="EU52" s="12">
        <f t="shared" si="139"/>
        <v>627203.11</v>
      </c>
      <c r="EV52" s="12">
        <f t="shared" si="105"/>
        <v>4.5031232364889027</v>
      </c>
      <c r="EW52" s="10">
        <v>149000</v>
      </c>
      <c r="EX52" s="10">
        <f t="shared" si="140"/>
        <v>190720</v>
      </c>
      <c r="EY52" s="10">
        <f t="shared" si="106"/>
        <v>1.3294020060921632</v>
      </c>
      <c r="EZ52" s="3">
        <f t="shared" si="107"/>
        <v>1801439.7999999998</v>
      </c>
      <c r="FA52" s="3">
        <f t="shared" si="108"/>
        <v>11.704045063541152</v>
      </c>
      <c r="FB52" s="3">
        <f t="shared" si="109"/>
        <v>17.536570306122218</v>
      </c>
      <c r="FC52" s="1">
        <f t="shared" si="110"/>
        <v>0.21630000000000002</v>
      </c>
      <c r="FD52">
        <f>2.24/10</f>
        <v>0.22400000000000003</v>
      </c>
      <c r="FE52">
        <f>2.8</f>
        <v>2.8</v>
      </c>
      <c r="FF52" s="7">
        <f t="shared" si="111"/>
        <v>9.2399999999999984</v>
      </c>
      <c r="FG52" s="1">
        <f t="shared" si="112"/>
        <v>1.2879999999999998</v>
      </c>
      <c r="FH52">
        <v>2.63E-2</v>
      </c>
      <c r="FI52">
        <v>3.4000000000000002E-2</v>
      </c>
      <c r="FJ52">
        <v>4.41E-2</v>
      </c>
      <c r="FK52">
        <v>4.0899999999999999E-2</v>
      </c>
      <c r="FL52" s="1">
        <f t="shared" si="113"/>
        <v>2.5666666666666672E-3</v>
      </c>
    </row>
    <row r="53" spans="1:310">
      <c r="A53" t="s">
        <v>129</v>
      </c>
      <c r="B53" s="1" t="s">
        <v>82</v>
      </c>
      <c r="C53" s="1">
        <v>127971</v>
      </c>
      <c r="D53" s="6">
        <f t="shared" si="141"/>
        <v>135127.5</v>
      </c>
      <c r="E53" s="6">
        <f t="shared" si="142"/>
        <v>139898.5</v>
      </c>
      <c r="F53" s="1">
        <v>151826</v>
      </c>
      <c r="G53" s="1">
        <f t="shared" si="119"/>
        <v>2385.5</v>
      </c>
      <c r="H53" s="1">
        <v>1.31</v>
      </c>
      <c r="I53" s="1">
        <v>1.28</v>
      </c>
      <c r="J53" s="1">
        <v>1.22</v>
      </c>
      <c r="K53">
        <v>53860</v>
      </c>
      <c r="L53">
        <f t="shared" si="24"/>
        <v>0.42087660485578765</v>
      </c>
      <c r="M53" s="1">
        <v>63079</v>
      </c>
      <c r="N53">
        <f t="shared" si="25"/>
        <v>0.41546902375087269</v>
      </c>
      <c r="O53">
        <f t="shared" si="26"/>
        <v>-1.2848376561029936E-2</v>
      </c>
      <c r="P53">
        <f t="shared" si="27"/>
        <v>0.12264699595431233</v>
      </c>
      <c r="Q53">
        <f t="shared" si="28"/>
        <v>0.1812217532728562</v>
      </c>
      <c r="R53">
        <f t="shared" si="29"/>
        <v>509.09045207472502</v>
      </c>
      <c r="S53">
        <f t="shared" si="30"/>
        <v>547.09890587835537</v>
      </c>
      <c r="T53">
        <f t="shared" si="31"/>
        <v>547.42033849075176</v>
      </c>
      <c r="U53">
        <v>92297.113769999996</v>
      </c>
      <c r="V53">
        <f t="shared" si="32"/>
        <v>5.9310667054540524E-3</v>
      </c>
      <c r="W53">
        <f t="shared" si="33"/>
        <v>449.94640759817162</v>
      </c>
      <c r="X53">
        <v>79429.064259999999</v>
      </c>
      <c r="Y53">
        <f t="shared" si="34"/>
        <v>5.6647577532241171E-3</v>
      </c>
      <c r="Z53" s="1">
        <v>5039</v>
      </c>
      <c r="AA53" s="1">
        <f t="shared" si="35"/>
        <v>3.937610864961593E-2</v>
      </c>
      <c r="AB53" s="1">
        <v>51937</v>
      </c>
      <c r="AC53" s="1">
        <f t="shared" si="120"/>
        <v>0.40584976283689272</v>
      </c>
      <c r="AD53" s="1">
        <v>61.278341249999997</v>
      </c>
      <c r="AE53" s="1">
        <v>6440</v>
      </c>
      <c r="AF53">
        <f t="shared" si="114"/>
        <v>1.2780313554276643</v>
      </c>
      <c r="AG53">
        <f t="shared" si="36"/>
        <v>0.12399638022989391</v>
      </c>
      <c r="AH53">
        <f t="shared" si="116"/>
        <v>6.623053995230211E-3</v>
      </c>
      <c r="AI53">
        <v>30683</v>
      </c>
      <c r="AJ53">
        <f t="shared" si="37"/>
        <v>40194.730000000003</v>
      </c>
      <c r="AK53">
        <f t="shared" si="121"/>
        <v>0.29745780836617269</v>
      </c>
      <c r="AL53">
        <f t="shared" si="38"/>
        <v>40.567501634999999</v>
      </c>
      <c r="AM53">
        <f t="shared" si="39"/>
        <v>7.3324162538404422E-3</v>
      </c>
      <c r="AN53">
        <v>33.92</v>
      </c>
      <c r="AO53">
        <f t="shared" si="40"/>
        <v>33920</v>
      </c>
      <c r="AP53">
        <f t="shared" si="41"/>
        <v>43417.599999999999</v>
      </c>
      <c r="AQ53">
        <f t="shared" si="122"/>
        <v>0.31035071855666785</v>
      </c>
      <c r="AR53">
        <f t="shared" si="42"/>
        <v>51.759606732800002</v>
      </c>
      <c r="AS53">
        <f t="shared" si="43"/>
        <v>5.9960022524668637E-3</v>
      </c>
      <c r="AT53" s="1">
        <v>7289</v>
      </c>
      <c r="AU53" s="1">
        <f t="shared" si="44"/>
        <v>4.8008904930644289E-2</v>
      </c>
      <c r="AV53" s="1">
        <f t="shared" si="45"/>
        <v>0.21923944689015282</v>
      </c>
      <c r="AW53" s="1">
        <v>50997</v>
      </c>
      <c r="AX53" s="1">
        <f t="shared" si="46"/>
        <v>62216.34</v>
      </c>
      <c r="AY53" s="1">
        <f t="shared" si="123"/>
        <v>0.40978712473489387</v>
      </c>
      <c r="AZ53" s="1">
        <f t="shared" si="47"/>
        <v>9.701525683984533E-3</v>
      </c>
      <c r="BA53" s="1">
        <f t="shared" si="48"/>
        <v>60.4858519474</v>
      </c>
      <c r="BB53" s="1">
        <v>6393</v>
      </c>
      <c r="BC53" s="1">
        <f t="shared" si="49"/>
        <v>7799.46</v>
      </c>
      <c r="BD53" s="1">
        <f t="shared" si="50"/>
        <v>1.0700315543970367</v>
      </c>
      <c r="BE53" s="1">
        <f t="shared" si="51"/>
        <v>0.12536031531266545</v>
      </c>
      <c r="BF53" s="1">
        <f t="shared" si="52"/>
        <v>6.7749252352641894E-3</v>
      </c>
      <c r="BG53" s="1">
        <v>2845</v>
      </c>
      <c r="BH53" s="1">
        <f t="shared" si="53"/>
        <v>2.2231599346726992E-2</v>
      </c>
      <c r="BI53" s="1">
        <v>185358.13699999999</v>
      </c>
      <c r="BJ53" s="1">
        <f t="shared" si="124"/>
        <v>1.4484386071844402</v>
      </c>
      <c r="BK53" s="1">
        <v>101.2013381</v>
      </c>
      <c r="BL53" s="1">
        <v>5921.2380000000003</v>
      </c>
      <c r="BM53">
        <f t="shared" si="125"/>
        <v>2.0812787346221442</v>
      </c>
      <c r="BN53">
        <f t="shared" si="126"/>
        <v>3.1944850632589172E-2</v>
      </c>
      <c r="BO53">
        <f t="shared" si="54"/>
        <v>1.4312445214441687E-2</v>
      </c>
      <c r="BP53">
        <v>100093</v>
      </c>
      <c r="BQ53">
        <f t="shared" si="55"/>
        <v>131121.83000000002</v>
      </c>
      <c r="BR53">
        <f t="shared" si="127"/>
        <v>0.97035636713474327</v>
      </c>
      <c r="BS53">
        <f t="shared" si="56"/>
        <v>59.525235619600004</v>
      </c>
      <c r="BT53">
        <f t="shared" si="57"/>
        <v>1.6301596407545037E-2</v>
      </c>
      <c r="BU53">
        <v>125.03</v>
      </c>
      <c r="BV53">
        <f t="shared" si="128"/>
        <v>125030</v>
      </c>
      <c r="BW53">
        <f t="shared" si="58"/>
        <v>160038.39999999999</v>
      </c>
      <c r="BX53">
        <f t="shared" si="129"/>
        <v>1.1439608001515384</v>
      </c>
      <c r="BY53">
        <f t="shared" si="59"/>
        <v>76.247206297600002</v>
      </c>
      <c r="BZ53">
        <f t="shared" si="60"/>
        <v>1.5003314294382827E-2</v>
      </c>
      <c r="CA53" s="1">
        <v>4188</v>
      </c>
      <c r="CB53" s="1">
        <f t="shared" si="61"/>
        <v>2.7584208238378143E-2</v>
      </c>
      <c r="CC53" s="1">
        <f t="shared" si="62"/>
        <v>0.24076580403286096</v>
      </c>
      <c r="CD53" s="1">
        <v>209069</v>
      </c>
      <c r="CE53" s="1">
        <f t="shared" si="63"/>
        <v>255064.18</v>
      </c>
      <c r="CF53">
        <f t="shared" si="130"/>
        <v>1.6799769472949297</v>
      </c>
      <c r="CG53">
        <f t="shared" si="64"/>
        <v>0.15985374800287006</v>
      </c>
      <c r="CH53">
        <f t="shared" si="65"/>
        <v>90.917938902799989</v>
      </c>
      <c r="CI53" s="1">
        <v>7789</v>
      </c>
      <c r="CJ53" s="1">
        <f t="shared" si="66"/>
        <v>9502.58</v>
      </c>
      <c r="CK53">
        <f t="shared" si="67"/>
        <v>2.2690019102196755</v>
      </c>
      <c r="CL53">
        <f t="shared" si="68"/>
        <v>3.7255642873883742E-2</v>
      </c>
      <c r="CM53">
        <f t="shared" si="69"/>
        <v>1.847794799979998E-2</v>
      </c>
      <c r="CN53" s="1">
        <v>9299</v>
      </c>
      <c r="CO53" s="1">
        <f t="shared" si="70"/>
        <v>7.2664900641551608E-2</v>
      </c>
      <c r="CP53" s="1">
        <v>69816633</v>
      </c>
      <c r="CQ53" s="1">
        <f t="shared" si="131"/>
        <v>545.56605012073044</v>
      </c>
      <c r="CR53" s="1">
        <v>108123.0123</v>
      </c>
      <c r="CS53" s="1">
        <v>8735340</v>
      </c>
      <c r="CT53">
        <f t="shared" si="71"/>
        <v>939.38488009463379</v>
      </c>
      <c r="CU53">
        <f t="shared" si="72"/>
        <v>0.1251183224490359</v>
      </c>
      <c r="CV53">
        <f t="shared" si="73"/>
        <v>5.0457903319137401E-3</v>
      </c>
      <c r="CW53" s="1">
        <v>12067</v>
      </c>
      <c r="CX53" s="1">
        <f t="shared" si="74"/>
        <v>7.9479140595154985E-2</v>
      </c>
      <c r="CY53" s="1">
        <f t="shared" si="75"/>
        <v>9.377622336838129E-2</v>
      </c>
      <c r="CZ53" s="1">
        <v>55734658</v>
      </c>
      <c r="DA53" s="1">
        <f t="shared" si="143"/>
        <v>67996282.760000005</v>
      </c>
      <c r="DB53" s="1">
        <f t="shared" si="133"/>
        <v>447.8566435261418</v>
      </c>
      <c r="DC53" s="1">
        <f t="shared" si="76"/>
        <v>-0.1790973000848681</v>
      </c>
      <c r="DD53" s="1">
        <f t="shared" si="77"/>
        <v>93954.54819500001</v>
      </c>
      <c r="DE53" s="1">
        <v>10543930</v>
      </c>
      <c r="DF53" s="1">
        <f t="shared" si="78"/>
        <v>12863594.6</v>
      </c>
      <c r="DG53">
        <f t="shared" si="79"/>
        <v>1066.0143034722798</v>
      </c>
      <c r="DH53">
        <f t="shared" si="80"/>
        <v>0.18918085045036068</v>
      </c>
      <c r="DI53">
        <f t="shared" si="81"/>
        <v>4.7667372376335414E-3</v>
      </c>
      <c r="DJ53" s="1">
        <v>3492441</v>
      </c>
      <c r="DK53">
        <f t="shared" si="134"/>
        <v>27.290878402137984</v>
      </c>
      <c r="DL53">
        <v>1889.3069949999999</v>
      </c>
      <c r="DM53" s="1">
        <v>272540</v>
      </c>
      <c r="DN53" s="3">
        <f t="shared" si="82"/>
        <v>1.4444914709130152E-2</v>
      </c>
      <c r="DO53" s="1">
        <v>2266008</v>
      </c>
      <c r="DP53" s="1">
        <f t="shared" si="83"/>
        <v>2764529.76</v>
      </c>
      <c r="DQ53" s="3">
        <f t="shared" si="135"/>
        <v>18.208539775795977</v>
      </c>
      <c r="DR53" s="3">
        <f t="shared" si="84"/>
        <v>1905.8896083399998</v>
      </c>
      <c r="DS53" s="3">
        <f t="shared" si="85"/>
        <v>401312.23903895286</v>
      </c>
      <c r="DT53" s="3">
        <f t="shared" si="86"/>
        <v>9.5538270926695135E-3</v>
      </c>
      <c r="DU53" s="3">
        <f t="shared" si="87"/>
        <v>1.4724893191419712</v>
      </c>
      <c r="DV53" s="3">
        <f t="shared" si="88"/>
        <v>335.34958785359669</v>
      </c>
      <c r="DW53" s="3">
        <f t="shared" si="89"/>
        <v>0.10547606032473812</v>
      </c>
      <c r="DX53" s="3">
        <f t="shared" si="90"/>
        <v>73546369.136999995</v>
      </c>
      <c r="DY53" s="3">
        <f t="shared" si="91"/>
        <v>574.71121689288975</v>
      </c>
      <c r="DZ53" s="3">
        <f t="shared" si="92"/>
        <v>73309074</v>
      </c>
      <c r="EA53" s="3">
        <f t="shared" si="93"/>
        <v>171316.56000000003</v>
      </c>
      <c r="EB53" s="3">
        <f t="shared" si="94"/>
        <v>1.267814175500916</v>
      </c>
      <c r="EC53" s="3">
        <f t="shared" si="95"/>
        <v>203456</v>
      </c>
      <c r="ED53" s="3">
        <f t="shared" si="96"/>
        <v>1.4543115187082063</v>
      </c>
      <c r="EE53" s="9">
        <f t="shared" si="97"/>
        <v>71078093.040000007</v>
      </c>
      <c r="EF53" s="13">
        <f t="shared" si="98"/>
        <v>468.15494737396762</v>
      </c>
      <c r="EG53" s="14">
        <f t="shared" si="99"/>
        <v>-0.18540836925892343</v>
      </c>
      <c r="EH53" s="9">
        <f t="shared" si="100"/>
        <v>70760812.520000011</v>
      </c>
      <c r="EI53" s="10">
        <v>114763</v>
      </c>
      <c r="EJ53" s="10">
        <f t="shared" si="136"/>
        <v>150339.53</v>
      </c>
      <c r="EK53" s="10">
        <f t="shared" si="101"/>
        <v>1.1125753825091118</v>
      </c>
      <c r="EL53" s="10">
        <v>66000</v>
      </c>
      <c r="EM53" s="10">
        <f t="shared" si="137"/>
        <v>84480</v>
      </c>
      <c r="EN53" s="10">
        <f t="shared" si="102"/>
        <v>0.60386637455012027</v>
      </c>
      <c r="EO53" s="11">
        <v>826340</v>
      </c>
      <c r="EP53" s="11">
        <f t="shared" si="138"/>
        <v>1008134.7999999999</v>
      </c>
      <c r="EQ53" s="11">
        <f t="shared" si="103"/>
        <v>6.6400669187095751</v>
      </c>
      <c r="ER53" s="10">
        <f t="shared" si="104"/>
        <v>8.3565086757688078</v>
      </c>
      <c r="ES53" s="10">
        <f t="shared" si="115"/>
        <v>11.933413825757574</v>
      </c>
      <c r="ET53" s="12">
        <v>815983</v>
      </c>
      <c r="EU53" s="12">
        <f t="shared" si="139"/>
        <v>1068937.73</v>
      </c>
      <c r="EV53" s="12">
        <f t="shared" si="105"/>
        <v>7.9105861501174815</v>
      </c>
      <c r="EW53" s="10">
        <v>140000</v>
      </c>
      <c r="EX53" s="10">
        <f t="shared" si="140"/>
        <v>179200</v>
      </c>
      <c r="EY53" s="10">
        <f t="shared" si="106"/>
        <v>1.280928673288134</v>
      </c>
      <c r="EZ53" s="3">
        <f t="shared" si="107"/>
        <v>1670677.9356060603</v>
      </c>
      <c r="FA53" s="3">
        <f t="shared" si="108"/>
        <v>11.003898776270601</v>
      </c>
      <c r="FB53" s="3">
        <f t="shared" si="109"/>
        <v>20.195413599676215</v>
      </c>
      <c r="FC53" s="1">
        <f t="shared" si="110"/>
        <v>0.33829999999999999</v>
      </c>
      <c r="FD53">
        <f>3.46/10</f>
        <v>0.34599999999999997</v>
      </c>
      <c r="FE53">
        <f>3.9</f>
        <v>3.9</v>
      </c>
      <c r="FF53" s="7">
        <f t="shared" si="111"/>
        <v>12.785</v>
      </c>
      <c r="FG53" s="1">
        <f t="shared" si="112"/>
        <v>1.7769999999999999</v>
      </c>
      <c r="FH53">
        <v>2.63E-2</v>
      </c>
      <c r="FI53">
        <v>3.4000000000000002E-2</v>
      </c>
      <c r="FJ53">
        <v>4.41E-2</v>
      </c>
      <c r="FK53">
        <v>4.0899999999999999E-2</v>
      </c>
      <c r="FL53" s="1">
        <f t="shared" si="113"/>
        <v>2.5666666666666672E-3</v>
      </c>
    </row>
    <row r="54" spans="1:310">
      <c r="A54" s="1" t="s">
        <v>123</v>
      </c>
      <c r="B54" s="1" t="s">
        <v>68</v>
      </c>
      <c r="C54" s="1">
        <v>232982</v>
      </c>
      <c r="D54" s="6">
        <f t="shared" si="141"/>
        <v>237356</v>
      </c>
      <c r="E54" s="6">
        <f t="shared" si="142"/>
        <v>240272</v>
      </c>
      <c r="F54" s="1">
        <v>247562</v>
      </c>
      <c r="G54" s="1">
        <f t="shared" si="119"/>
        <v>1458</v>
      </c>
      <c r="H54" s="1">
        <v>1.31</v>
      </c>
      <c r="I54" s="1">
        <v>1.28</v>
      </c>
      <c r="J54" s="1">
        <v>1.22</v>
      </c>
      <c r="K54" s="1">
        <v>100183</v>
      </c>
      <c r="L54">
        <f t="shared" si="24"/>
        <v>0.43000317621103779</v>
      </c>
      <c r="M54" s="1">
        <v>88564</v>
      </c>
      <c r="N54">
        <f t="shared" si="25"/>
        <v>0.35774472657354522</v>
      </c>
      <c r="O54">
        <f t="shared" si="26"/>
        <v>-0.16804166488767847</v>
      </c>
      <c r="P54">
        <f t="shared" si="27"/>
        <v>6.1887537842492103E-2</v>
      </c>
      <c r="Q54">
        <f t="shared" si="28"/>
        <v>6.7792932454079871E-2</v>
      </c>
      <c r="R54">
        <f t="shared" si="29"/>
        <v>576.43556854817257</v>
      </c>
      <c r="S54">
        <f t="shared" si="30"/>
        <v>491.00989846955582</v>
      </c>
      <c r="T54">
        <f t="shared" si="31"/>
        <v>1530.0071041968906</v>
      </c>
      <c r="U54">
        <v>92297.113769999996</v>
      </c>
      <c r="V54">
        <f t="shared" si="32"/>
        <v>1.6576976697338503E-2</v>
      </c>
      <c r="W54">
        <f t="shared" si="33"/>
        <v>966.03771798579737</v>
      </c>
      <c r="X54">
        <v>79429.064259999999</v>
      </c>
      <c r="Y54">
        <f t="shared" si="34"/>
        <v>1.2162269906939948E-2</v>
      </c>
      <c r="Z54" s="1">
        <v>11712</v>
      </c>
      <c r="AA54" s="1">
        <f t="shared" si="35"/>
        <v>5.0269977938209816E-2</v>
      </c>
      <c r="AB54" s="1">
        <v>120935</v>
      </c>
      <c r="AC54" s="1">
        <f t="shared" si="120"/>
        <v>0.5190744349348877</v>
      </c>
      <c r="AD54" s="1">
        <v>61.278341249999997</v>
      </c>
      <c r="AE54" s="1">
        <v>15736</v>
      </c>
      <c r="AF54">
        <f t="shared" si="114"/>
        <v>1.3435792349726776</v>
      </c>
      <c r="AG54">
        <f t="shared" si="36"/>
        <v>0.13011948567412246</v>
      </c>
      <c r="AH54">
        <f t="shared" si="116"/>
        <v>8.470765107971779E-3</v>
      </c>
      <c r="AI54">
        <v>75313</v>
      </c>
      <c r="AJ54">
        <f t="shared" si="37"/>
        <v>98660.03</v>
      </c>
      <c r="AK54">
        <f t="shared" si="121"/>
        <v>0.41566267547481422</v>
      </c>
      <c r="AL54">
        <f t="shared" si="38"/>
        <v>40.567501634999999</v>
      </c>
      <c r="AM54">
        <f t="shared" si="39"/>
        <v>1.02461985264628E-2</v>
      </c>
      <c r="AN54">
        <v>93.44</v>
      </c>
      <c r="AO54">
        <f t="shared" si="40"/>
        <v>93440</v>
      </c>
      <c r="AP54">
        <f t="shared" si="41"/>
        <v>119603.2</v>
      </c>
      <c r="AQ54">
        <f t="shared" si="122"/>
        <v>0.49778251315176131</v>
      </c>
      <c r="AR54">
        <f t="shared" si="42"/>
        <v>51.759606732800002</v>
      </c>
      <c r="AS54">
        <f t="shared" si="43"/>
        <v>9.6172004497923885E-3</v>
      </c>
      <c r="AT54" s="1">
        <v>14083</v>
      </c>
      <c r="AU54" s="1">
        <f t="shared" si="44"/>
        <v>5.6886759680403291E-2</v>
      </c>
      <c r="AV54" s="1">
        <f t="shared" si="45"/>
        <v>0.13162491836233953</v>
      </c>
      <c r="AW54" s="1">
        <v>108341</v>
      </c>
      <c r="AX54" s="1">
        <f t="shared" si="46"/>
        <v>132176.01999999999</v>
      </c>
      <c r="AY54" s="1">
        <f t="shared" si="123"/>
        <v>0.53391077790614061</v>
      </c>
      <c r="AZ54" s="1">
        <f t="shared" si="47"/>
        <v>2.858230337064081E-2</v>
      </c>
      <c r="BA54" s="1">
        <f t="shared" si="48"/>
        <v>60.4858519474</v>
      </c>
      <c r="BB54" s="1">
        <v>13659</v>
      </c>
      <c r="BC54" s="1">
        <f t="shared" si="49"/>
        <v>16663.98</v>
      </c>
      <c r="BD54" s="1">
        <f t="shared" si="50"/>
        <v>1.183269189803309</v>
      </c>
      <c r="BE54" s="1">
        <f t="shared" si="51"/>
        <v>0.12607415475212524</v>
      </c>
      <c r="BF54" s="1">
        <f t="shared" si="52"/>
        <v>8.8270357565673821E-3</v>
      </c>
      <c r="BG54" s="1">
        <v>9543</v>
      </c>
      <c r="BH54" s="1">
        <f t="shared" si="53"/>
        <v>4.0960245855903028E-2</v>
      </c>
      <c r="BI54" s="1">
        <v>707496.15</v>
      </c>
      <c r="BJ54" s="1">
        <f t="shared" si="124"/>
        <v>3.0366987578439537</v>
      </c>
      <c r="BK54" s="1">
        <v>101.2013381</v>
      </c>
      <c r="BL54" s="1">
        <v>17784.763999999999</v>
      </c>
      <c r="BM54">
        <f t="shared" si="125"/>
        <v>1.86364497537462</v>
      </c>
      <c r="BN54">
        <f t="shared" si="126"/>
        <v>2.5137612409622298E-2</v>
      </c>
      <c r="BO54">
        <f t="shared" si="54"/>
        <v>3.0006507965767239E-2</v>
      </c>
      <c r="BP54">
        <v>276221</v>
      </c>
      <c r="BQ54">
        <f t="shared" si="55"/>
        <v>361849.51</v>
      </c>
      <c r="BR54">
        <f t="shared" si="127"/>
        <v>1.5245012133672626</v>
      </c>
      <c r="BS54">
        <f t="shared" si="56"/>
        <v>59.525235619600004</v>
      </c>
      <c r="BT54">
        <f t="shared" si="57"/>
        <v>2.5611006785587368E-2</v>
      </c>
      <c r="BU54">
        <v>356.37</v>
      </c>
      <c r="BV54">
        <f t="shared" si="128"/>
        <v>356370</v>
      </c>
      <c r="BW54">
        <f t="shared" si="58"/>
        <v>456153.60000000003</v>
      </c>
      <c r="BX54">
        <f t="shared" si="129"/>
        <v>1.8984883798361858</v>
      </c>
      <c r="BY54">
        <f t="shared" si="59"/>
        <v>76.247206297600002</v>
      </c>
      <c r="BZ54">
        <f t="shared" si="60"/>
        <v>2.4899120532052118E-2</v>
      </c>
      <c r="CA54" s="1">
        <v>8162</v>
      </c>
      <c r="CB54" s="1">
        <f t="shared" si="61"/>
        <v>3.2969518746818978E-2</v>
      </c>
      <c r="CC54" s="1">
        <f t="shared" si="62"/>
        <v>-0.19508494009521329</v>
      </c>
      <c r="CD54" s="1">
        <v>392052</v>
      </c>
      <c r="CE54" s="1">
        <f t="shared" si="63"/>
        <v>478303.44</v>
      </c>
      <c r="CF54">
        <f t="shared" si="130"/>
        <v>1.9320551619392314</v>
      </c>
      <c r="CG54">
        <f t="shared" si="64"/>
        <v>-0.36376462862882575</v>
      </c>
      <c r="CH54">
        <f t="shared" si="65"/>
        <v>90.917938902799989</v>
      </c>
      <c r="CI54" s="1">
        <v>13177</v>
      </c>
      <c r="CJ54" s="1">
        <f t="shared" si="66"/>
        <v>16075.94</v>
      </c>
      <c r="CK54">
        <f t="shared" si="67"/>
        <v>1.9696079392305808</v>
      </c>
      <c r="CL54">
        <f t="shared" si="68"/>
        <v>3.3610337404221889E-2</v>
      </c>
      <c r="CM54">
        <f t="shared" si="69"/>
        <v>2.1250538510389945E-2</v>
      </c>
      <c r="CN54" s="1">
        <v>16339</v>
      </c>
      <c r="CO54" s="1">
        <f t="shared" si="70"/>
        <v>7.0129881278382017E-2</v>
      </c>
      <c r="CP54" s="1">
        <v>355635684</v>
      </c>
      <c r="CQ54" s="1">
        <f t="shared" si="131"/>
        <v>1526.4513310041118</v>
      </c>
      <c r="CR54" s="1">
        <v>108123.0123</v>
      </c>
      <c r="CS54" s="1">
        <v>21636998</v>
      </c>
      <c r="CT54">
        <f t="shared" si="71"/>
        <v>1324.254727951527</v>
      </c>
      <c r="CU54">
        <f t="shared" si="72"/>
        <v>6.0840345818615887E-2</v>
      </c>
      <c r="CV54">
        <f t="shared" si="73"/>
        <v>1.4117728488444193E-2</v>
      </c>
      <c r="CW54" s="1">
        <v>11144</v>
      </c>
      <c r="CX54" s="1">
        <f t="shared" si="74"/>
        <v>4.5014986144884916E-2</v>
      </c>
      <c r="CY54" s="1">
        <f t="shared" si="75"/>
        <v>-0.35811974404751956</v>
      </c>
      <c r="CZ54" s="1">
        <v>195527664</v>
      </c>
      <c r="DA54" s="1">
        <f t="shared" si="143"/>
        <v>238543750.07999998</v>
      </c>
      <c r="DB54" s="1">
        <f t="shared" si="133"/>
        <v>963.57175204595205</v>
      </c>
      <c r="DC54" s="1">
        <f t="shared" si="76"/>
        <v>-0.36875042625033655</v>
      </c>
      <c r="DD54" s="1">
        <f t="shared" si="77"/>
        <v>93954.54819500001</v>
      </c>
      <c r="DE54" s="1">
        <v>13411139</v>
      </c>
      <c r="DF54" s="1">
        <f t="shared" si="78"/>
        <v>16361589.58</v>
      </c>
      <c r="DG54">
        <f t="shared" si="79"/>
        <v>1468.1971984924623</v>
      </c>
      <c r="DH54">
        <f t="shared" si="80"/>
        <v>6.8589470797339458E-2</v>
      </c>
      <c r="DI54">
        <f t="shared" si="81"/>
        <v>1.0255722267389186E-2</v>
      </c>
      <c r="DJ54" s="1">
        <v>3554243</v>
      </c>
      <c r="DK54">
        <f t="shared" si="134"/>
        <v>15.255440334446439</v>
      </c>
      <c r="DL54">
        <v>1889.3069949999999</v>
      </c>
      <c r="DM54" s="1">
        <v>610131</v>
      </c>
      <c r="DN54" s="3">
        <f t="shared" si="82"/>
        <v>8.0746222688104947E-3</v>
      </c>
      <c r="DO54" s="1">
        <v>2192827</v>
      </c>
      <c r="DP54" s="1">
        <f t="shared" si="83"/>
        <v>2675248.94</v>
      </c>
      <c r="DQ54" s="3">
        <f t="shared" si="135"/>
        <v>10.806379573601765</v>
      </c>
      <c r="DR54" s="3">
        <f t="shared" si="84"/>
        <v>1905.8896083399998</v>
      </c>
      <c r="DS54" s="3">
        <f t="shared" si="85"/>
        <v>461580.48919352127</v>
      </c>
      <c r="DT54" s="3">
        <f t="shared" si="86"/>
        <v>5.6699923890208698E-3</v>
      </c>
      <c r="DU54" s="3">
        <f t="shared" si="87"/>
        <v>0.75652685930320085</v>
      </c>
      <c r="DV54" s="3">
        <f t="shared" si="88"/>
        <v>466.46867129722847</v>
      </c>
      <c r="DW54" s="3">
        <f t="shared" si="89"/>
        <v>7.4061901142674538E-2</v>
      </c>
      <c r="DX54" s="3">
        <f t="shared" si="90"/>
        <v>360018358.14999998</v>
      </c>
      <c r="DY54" s="3">
        <f t="shared" si="91"/>
        <v>1545.262544531337</v>
      </c>
      <c r="DZ54" s="3">
        <f t="shared" si="92"/>
        <v>359189927</v>
      </c>
      <c r="EA54" s="3">
        <f t="shared" si="93"/>
        <v>460509.54000000004</v>
      </c>
      <c r="EB54" s="3">
        <f t="shared" si="94"/>
        <v>1.9401638888420771</v>
      </c>
      <c r="EC54" s="3">
        <f t="shared" si="95"/>
        <v>575756.80000000005</v>
      </c>
      <c r="ED54" s="3">
        <f t="shared" si="96"/>
        <v>2.396270892987947</v>
      </c>
      <c r="EE54" s="9">
        <f t="shared" si="97"/>
        <v>241829478.47999999</v>
      </c>
      <c r="EF54" s="13">
        <f t="shared" si="98"/>
        <v>976.84409755939919</v>
      </c>
      <c r="EG54" s="14">
        <f t="shared" si="99"/>
        <v>-0.36784587122981977</v>
      </c>
      <c r="EH54" s="9">
        <f t="shared" si="100"/>
        <v>241218999.01999998</v>
      </c>
      <c r="EI54" s="10">
        <v>240102</v>
      </c>
      <c r="EJ54" s="10">
        <f t="shared" si="136"/>
        <v>314533.62</v>
      </c>
      <c r="EK54" s="10">
        <f t="shared" si="101"/>
        <v>1.3251555469421459</v>
      </c>
      <c r="EL54" s="10">
        <v>442000</v>
      </c>
      <c r="EM54" s="10">
        <f t="shared" si="137"/>
        <v>565760</v>
      </c>
      <c r="EN54" s="10">
        <f t="shared" si="102"/>
        <v>2.3546647133248984</v>
      </c>
      <c r="EO54" s="11">
        <v>3993326</v>
      </c>
      <c r="EP54" s="11">
        <f t="shared" si="138"/>
        <v>4871857.72</v>
      </c>
      <c r="EQ54" s="11">
        <f t="shared" si="103"/>
        <v>19.679343841138785</v>
      </c>
      <c r="ER54" s="10">
        <f t="shared" si="104"/>
        <v>23.359164101405828</v>
      </c>
      <c r="ES54" s="10">
        <f t="shared" si="115"/>
        <v>8.6111738546380092</v>
      </c>
      <c r="ET54" s="12">
        <v>669093</v>
      </c>
      <c r="EU54" s="12">
        <f t="shared" si="139"/>
        <v>876511.83000000007</v>
      </c>
      <c r="EV54" s="12">
        <f t="shared" si="105"/>
        <v>3.6928151384418344</v>
      </c>
      <c r="EW54" s="10">
        <v>259000</v>
      </c>
      <c r="EX54" s="10">
        <f t="shared" si="140"/>
        <v>331520</v>
      </c>
      <c r="EY54" s="10">
        <f t="shared" si="106"/>
        <v>1.3797695944596124</v>
      </c>
      <c r="EZ54" s="3">
        <f t="shared" si="107"/>
        <v>2230294.0283512445</v>
      </c>
      <c r="FA54" s="3">
        <f t="shared" si="108"/>
        <v>9.0090321953742674</v>
      </c>
      <c r="FB54" s="3">
        <f t="shared" si="109"/>
        <v>14.081616928275714</v>
      </c>
      <c r="FC54" s="1">
        <f t="shared" si="110"/>
        <v>0.50829999999999997</v>
      </c>
      <c r="FD54">
        <f>5.16/10</f>
        <v>0.51600000000000001</v>
      </c>
      <c r="FE54">
        <f>6.3</f>
        <v>6.3</v>
      </c>
      <c r="FF54" s="7">
        <f t="shared" si="111"/>
        <v>20.759999999999998</v>
      </c>
      <c r="FG54" s="1">
        <f t="shared" si="112"/>
        <v>2.8919999999999999</v>
      </c>
      <c r="FH54">
        <v>2.63E-2</v>
      </c>
      <c r="FI54">
        <v>3.4000000000000002E-2</v>
      </c>
      <c r="FJ54">
        <v>4.41E-2</v>
      </c>
      <c r="FK54">
        <v>4.0899999999999999E-2</v>
      </c>
      <c r="FL54" s="1">
        <f t="shared" si="113"/>
        <v>2.5666666666666672E-3</v>
      </c>
    </row>
    <row r="55" spans="1:310">
      <c r="A55" t="s">
        <v>111</v>
      </c>
      <c r="B55" s="1" t="s">
        <v>13</v>
      </c>
      <c r="C55" s="1">
        <v>833513</v>
      </c>
      <c r="D55" s="6">
        <f t="shared" si="141"/>
        <v>834661.1</v>
      </c>
      <c r="E55" s="6">
        <f t="shared" si="142"/>
        <v>835426.5</v>
      </c>
      <c r="F55" s="1">
        <v>837340</v>
      </c>
      <c r="G55" s="1">
        <f t="shared" si="119"/>
        <v>382.7</v>
      </c>
      <c r="H55" s="1">
        <v>1.31</v>
      </c>
      <c r="I55" s="1">
        <v>1.28</v>
      </c>
      <c r="J55" s="1">
        <v>1.22</v>
      </c>
      <c r="K55">
        <v>367272</v>
      </c>
      <c r="L55">
        <f t="shared" si="24"/>
        <v>0.44063139987018801</v>
      </c>
      <c r="M55" s="1">
        <v>319857</v>
      </c>
      <c r="N55">
        <f t="shared" si="25"/>
        <v>0.38199178350490842</v>
      </c>
      <c r="O55">
        <f t="shared" si="26"/>
        <v>-0.1330808843458616</v>
      </c>
      <c r="P55">
        <f t="shared" si="27"/>
        <v>0.171265153070675</v>
      </c>
      <c r="Q55">
        <f t="shared" si="28"/>
        <v>0.15617271749511177</v>
      </c>
      <c r="R55">
        <f t="shared" si="29"/>
        <v>936.53896291016974</v>
      </c>
      <c r="S55">
        <f t="shared" si="30"/>
        <v>877.1239360913238</v>
      </c>
      <c r="T55">
        <f t="shared" si="31"/>
        <v>909.64795944154434</v>
      </c>
      <c r="U55">
        <v>92297.113769999996</v>
      </c>
      <c r="V55">
        <f t="shared" si="32"/>
        <v>9.8556490261260347E-3</v>
      </c>
      <c r="W55">
        <f t="shared" si="33"/>
        <v>894.79978159409563</v>
      </c>
      <c r="X55">
        <v>79429.064259999999</v>
      </c>
      <c r="Y55">
        <f t="shared" si="34"/>
        <v>1.1265394977650662E-2</v>
      </c>
      <c r="Z55" s="1">
        <v>35522</v>
      </c>
      <c r="AA55" s="1">
        <f t="shared" si="35"/>
        <v>4.2617211729151193E-2</v>
      </c>
      <c r="AB55" s="1">
        <v>473919</v>
      </c>
      <c r="AC55" s="1">
        <f t="shared" si="120"/>
        <v>0.56858021410583881</v>
      </c>
      <c r="AD55" s="1">
        <v>61.278341249999997</v>
      </c>
      <c r="AE55" s="1">
        <v>56957</v>
      </c>
      <c r="AF55">
        <f t="shared" si="114"/>
        <v>1.6034288609875571</v>
      </c>
      <c r="AG55">
        <f t="shared" si="36"/>
        <v>0.12018298485606189</v>
      </c>
      <c r="AH55">
        <f t="shared" si="116"/>
        <v>9.2786489077140103E-3</v>
      </c>
      <c r="AI55">
        <v>276377</v>
      </c>
      <c r="AJ55">
        <f t="shared" si="37"/>
        <v>362053.87</v>
      </c>
      <c r="AK55">
        <f t="shared" si="121"/>
        <v>0.43377350400060577</v>
      </c>
      <c r="AL55">
        <f t="shared" si="38"/>
        <v>40.567501634999999</v>
      </c>
      <c r="AM55">
        <f t="shared" si="39"/>
        <v>1.0692635398241127E-2</v>
      </c>
      <c r="AN55">
        <v>309.32</v>
      </c>
      <c r="AO55">
        <f t="shared" si="40"/>
        <v>309320</v>
      </c>
      <c r="AP55">
        <f t="shared" si="41"/>
        <v>395929.60000000003</v>
      </c>
      <c r="AQ55">
        <f t="shared" si="122"/>
        <v>0.47392511489640327</v>
      </c>
      <c r="AR55">
        <f t="shared" si="42"/>
        <v>51.759606732800002</v>
      </c>
      <c r="AS55">
        <f t="shared" si="43"/>
        <v>9.1562734883779071E-3</v>
      </c>
      <c r="AT55" s="1">
        <v>41356</v>
      </c>
      <c r="AU55" s="1">
        <f t="shared" si="44"/>
        <v>4.9389734158167532E-2</v>
      </c>
      <c r="AV55" s="1">
        <f t="shared" si="45"/>
        <v>0.15891519304590665</v>
      </c>
      <c r="AW55" s="1">
        <v>385212</v>
      </c>
      <c r="AX55" s="1">
        <f t="shared" si="46"/>
        <v>469958.64</v>
      </c>
      <c r="AY55" s="1">
        <f t="shared" si="123"/>
        <v>0.56125186901378177</v>
      </c>
      <c r="AZ55" s="1">
        <f t="shared" si="47"/>
        <v>-1.2888849999083686E-2</v>
      </c>
      <c r="BA55" s="1">
        <f t="shared" si="48"/>
        <v>60.4858519474</v>
      </c>
      <c r="BB55" s="1">
        <v>50832</v>
      </c>
      <c r="BC55" s="1">
        <f t="shared" si="49"/>
        <v>62015.040000000001</v>
      </c>
      <c r="BD55" s="1">
        <f t="shared" si="50"/>
        <v>1.4995415417351774</v>
      </c>
      <c r="BE55" s="1">
        <f t="shared" si="51"/>
        <v>0.13195850596554623</v>
      </c>
      <c r="BF55" s="1">
        <f t="shared" si="52"/>
        <v>9.2790603247493372E-3</v>
      </c>
      <c r="BG55" s="1">
        <v>10539</v>
      </c>
      <c r="BH55" s="1">
        <f t="shared" si="53"/>
        <v>1.2644073937659041E-2</v>
      </c>
      <c r="BI55" s="1">
        <v>416879.61800000002</v>
      </c>
      <c r="BJ55" s="1">
        <f t="shared" si="124"/>
        <v>0.50014770975377709</v>
      </c>
      <c r="BK55" s="1">
        <v>101.2013381</v>
      </c>
      <c r="BL55" s="1">
        <v>22749.368999999999</v>
      </c>
      <c r="BM55">
        <f t="shared" si="125"/>
        <v>2.1585889553088529</v>
      </c>
      <c r="BN55">
        <f t="shared" si="126"/>
        <v>5.4570595485433394E-2</v>
      </c>
      <c r="BO55">
        <f t="shared" si="54"/>
        <v>4.9421056988353902E-3</v>
      </c>
      <c r="BP55">
        <v>225097</v>
      </c>
      <c r="BQ55">
        <f t="shared" si="55"/>
        <v>294877.07</v>
      </c>
      <c r="BR55">
        <f t="shared" si="127"/>
        <v>0.35328958064536614</v>
      </c>
      <c r="BS55">
        <f t="shared" si="56"/>
        <v>59.525235619600004</v>
      </c>
      <c r="BT55">
        <f t="shared" si="57"/>
        <v>5.9351227587419696E-3</v>
      </c>
      <c r="BU55">
        <v>284.27999999999997</v>
      </c>
      <c r="BV55">
        <f t="shared" si="128"/>
        <v>284280</v>
      </c>
      <c r="BW55">
        <f t="shared" si="58"/>
        <v>363878.40000000002</v>
      </c>
      <c r="BX55">
        <f t="shared" si="129"/>
        <v>0.43556004029079759</v>
      </c>
      <c r="BY55">
        <f t="shared" si="59"/>
        <v>76.247206297600002</v>
      </c>
      <c r="BZ55">
        <f t="shared" si="60"/>
        <v>5.7124721211524246E-3</v>
      </c>
      <c r="CA55" s="1">
        <v>14139</v>
      </c>
      <c r="CB55" s="1">
        <f t="shared" si="61"/>
        <v>1.6885613968041654E-2</v>
      </c>
      <c r="CC55" s="1">
        <f t="shared" si="62"/>
        <v>0.33545675636628741</v>
      </c>
      <c r="CD55" s="1">
        <v>420146</v>
      </c>
      <c r="CE55" s="1">
        <f t="shared" si="63"/>
        <v>512578.12</v>
      </c>
      <c r="CF55">
        <f t="shared" si="130"/>
        <v>0.61215052427926531</v>
      </c>
      <c r="CG55">
        <f t="shared" si="64"/>
        <v>0.223939472962152</v>
      </c>
      <c r="CH55">
        <f t="shared" si="65"/>
        <v>90.917938902799989</v>
      </c>
      <c r="CI55" s="1">
        <v>26337</v>
      </c>
      <c r="CJ55" s="1">
        <f t="shared" si="66"/>
        <v>32131.14</v>
      </c>
      <c r="CK55">
        <f t="shared" si="67"/>
        <v>2.2725185656694249</v>
      </c>
      <c r="CL55">
        <f t="shared" si="68"/>
        <v>6.2685352234699371E-2</v>
      </c>
      <c r="CM55">
        <f t="shared" si="69"/>
        <v>6.7330004580692599E-3</v>
      </c>
      <c r="CN55" s="1">
        <v>92144</v>
      </c>
      <c r="CO55" s="1">
        <f t="shared" si="70"/>
        <v>0.11054896564300737</v>
      </c>
      <c r="CP55" s="1">
        <v>757312601</v>
      </c>
      <c r="CQ55" s="1">
        <f t="shared" si="131"/>
        <v>908.57923151768478</v>
      </c>
      <c r="CR55" s="1">
        <v>108123.0123</v>
      </c>
      <c r="CS55" s="1">
        <v>129354661</v>
      </c>
      <c r="CT55">
        <f t="shared" si="71"/>
        <v>1403.8316222434451</v>
      </c>
      <c r="CU55">
        <f t="shared" si="72"/>
        <v>0.17080748534910487</v>
      </c>
      <c r="CV55">
        <f t="shared" si="73"/>
        <v>8.4031993947479462E-3</v>
      </c>
      <c r="CW55" s="1">
        <v>78008</v>
      </c>
      <c r="CX55" s="1">
        <f t="shared" si="74"/>
        <v>9.3161678649055335E-2</v>
      </c>
      <c r="CY55" s="1">
        <f t="shared" si="75"/>
        <v>-0.15728131776556195</v>
      </c>
      <c r="CZ55" s="1">
        <v>613335338</v>
      </c>
      <c r="DA55" s="1">
        <f t="shared" si="143"/>
        <v>748269112.36000001</v>
      </c>
      <c r="DB55" s="1">
        <f t="shared" si="133"/>
        <v>893.6263792008026</v>
      </c>
      <c r="DC55" s="1">
        <f t="shared" si="76"/>
        <v>-1.6457400519605786E-2</v>
      </c>
      <c r="DD55" s="1">
        <f t="shared" si="77"/>
        <v>93954.54819500001</v>
      </c>
      <c r="DE55" s="1">
        <v>95905353</v>
      </c>
      <c r="DF55" s="1">
        <f t="shared" si="78"/>
        <v>117004530.66</v>
      </c>
      <c r="DG55">
        <f t="shared" si="79"/>
        <v>1499.9042490513793</v>
      </c>
      <c r="DH55">
        <f t="shared" si="80"/>
        <v>0.15636691228771168</v>
      </c>
      <c r="DI55">
        <f t="shared" si="81"/>
        <v>9.5112625878005005E-3</v>
      </c>
      <c r="DJ55" s="1">
        <v>402540</v>
      </c>
      <c r="DK55">
        <f t="shared" si="134"/>
        <v>0.48294387730005411</v>
      </c>
      <c r="DL55">
        <v>1889.3069949999999</v>
      </c>
      <c r="DM55" s="1">
        <v>488395</v>
      </c>
      <c r="DN55" s="3">
        <f t="shared" si="82"/>
        <v>2.5561958886414544E-4</v>
      </c>
      <c r="DO55" s="1">
        <v>451427</v>
      </c>
      <c r="DP55" s="1">
        <f t="shared" si="83"/>
        <v>550740.93999999994</v>
      </c>
      <c r="DQ55" s="3">
        <f t="shared" si="135"/>
        <v>0.6577267776530441</v>
      </c>
      <c r="DR55" s="3">
        <f t="shared" si="84"/>
        <v>1905.8896083399998</v>
      </c>
      <c r="DS55" s="3">
        <f t="shared" si="85"/>
        <v>441848.71018243267</v>
      </c>
      <c r="DT55" s="3">
        <f t="shared" si="86"/>
        <v>3.4510224242521263E-4</v>
      </c>
      <c r="DU55" s="3">
        <f t="shared" si="87"/>
        <v>0.90469540061309528</v>
      </c>
      <c r="DV55" s="3">
        <f t="shared" si="88"/>
        <v>485.21165820308761</v>
      </c>
      <c r="DW55" s="3">
        <f t="shared" si="89"/>
        <v>0.11609530602975959</v>
      </c>
      <c r="DX55" s="3">
        <f t="shared" si="90"/>
        <v>758605939.61800003</v>
      </c>
      <c r="DY55" s="3">
        <f t="shared" si="91"/>
        <v>910.1309033188445</v>
      </c>
      <c r="DZ55" s="3">
        <f t="shared" si="92"/>
        <v>757715141</v>
      </c>
      <c r="EA55" s="3">
        <f t="shared" si="93"/>
        <v>656930.93999999994</v>
      </c>
      <c r="EB55" s="3">
        <f t="shared" si="94"/>
        <v>0.78706308464597186</v>
      </c>
      <c r="EC55" s="3">
        <f t="shared" si="95"/>
        <v>759808</v>
      </c>
      <c r="ED55" s="3">
        <f t="shared" si="96"/>
        <v>0.90948515518720074</v>
      </c>
      <c r="EE55" s="9">
        <f t="shared" si="97"/>
        <v>749802390.06000006</v>
      </c>
      <c r="EF55" s="13">
        <f t="shared" si="98"/>
        <v>895.45750837174876</v>
      </c>
      <c r="EG55" s="14">
        <f t="shared" si="99"/>
        <v>-1.6122290643673751E-2</v>
      </c>
      <c r="EH55" s="9">
        <f t="shared" si="100"/>
        <v>748819853.30000007</v>
      </c>
      <c r="EI55" s="10">
        <v>404265</v>
      </c>
      <c r="EJ55" s="10">
        <f t="shared" si="136"/>
        <v>529587.15</v>
      </c>
      <c r="EK55" s="10">
        <f t="shared" si="101"/>
        <v>0.63449362861166048</v>
      </c>
      <c r="EL55" s="10">
        <v>1592000</v>
      </c>
      <c r="EM55" s="10">
        <f t="shared" si="137"/>
        <v>2037760</v>
      </c>
      <c r="EN55" s="10">
        <f t="shared" si="102"/>
        <v>2.4391852544778025</v>
      </c>
      <c r="EO55" s="11">
        <v>5260240</v>
      </c>
      <c r="EP55" s="11">
        <f t="shared" si="138"/>
        <v>6417492.7999999998</v>
      </c>
      <c r="EQ55" s="11">
        <f t="shared" si="103"/>
        <v>7.6641421644732128</v>
      </c>
      <c r="ER55" s="10">
        <f t="shared" si="104"/>
        <v>10.737821047562676</v>
      </c>
      <c r="ES55" s="10">
        <f t="shared" si="115"/>
        <v>3.1492878454773869</v>
      </c>
      <c r="ET55" s="12">
        <v>5624</v>
      </c>
      <c r="EU55" s="12">
        <f t="shared" si="139"/>
        <v>7367.4400000000005</v>
      </c>
      <c r="EV55" s="12">
        <f t="shared" si="105"/>
        <v>8.8268639810816646E-3</v>
      </c>
      <c r="EW55" s="10">
        <v>0</v>
      </c>
      <c r="EX55" s="10">
        <f t="shared" si="140"/>
        <v>0</v>
      </c>
      <c r="EY55" s="10">
        <f t="shared" si="106"/>
        <v>0</v>
      </c>
      <c r="EZ55" s="3">
        <v>0</v>
      </c>
      <c r="FA55" s="3">
        <f t="shared" si="108"/>
        <v>0</v>
      </c>
      <c r="FB55" s="3">
        <f t="shared" si="109"/>
        <v>8.8268639810816646E-3</v>
      </c>
      <c r="FC55" s="1">
        <f t="shared" si="110"/>
        <v>0.68230000000000002</v>
      </c>
      <c r="FD55">
        <f>6.9/10</f>
        <v>0.69000000000000006</v>
      </c>
      <c r="FE55">
        <f>7.3</f>
        <v>7.3</v>
      </c>
      <c r="FF55" s="7">
        <f t="shared" si="111"/>
        <v>23.824999999999999</v>
      </c>
      <c r="FG55" s="1">
        <f t="shared" si="112"/>
        <v>3.3049999999999997</v>
      </c>
      <c r="FH55">
        <v>2.63E-2</v>
      </c>
      <c r="FI55">
        <v>3.4000000000000002E-2</v>
      </c>
      <c r="FJ55">
        <v>4.41E-2</v>
      </c>
      <c r="FK55">
        <v>4.0899999999999999E-2</v>
      </c>
      <c r="FL55" s="1">
        <f t="shared" si="113"/>
        <v>2.5666666666666672E-3</v>
      </c>
    </row>
    <row r="56" spans="1:310">
      <c r="A56" t="s">
        <v>111</v>
      </c>
      <c r="B56" s="1" t="s">
        <v>14</v>
      </c>
      <c r="C56" s="1">
        <v>690730</v>
      </c>
      <c r="D56" s="6">
        <f t="shared" si="141"/>
        <v>679123</v>
      </c>
      <c r="E56" s="6">
        <f t="shared" si="142"/>
        <v>671385</v>
      </c>
      <c r="F56" s="1">
        <v>652040</v>
      </c>
      <c r="G56" s="1">
        <f t="shared" si="119"/>
        <v>-3869</v>
      </c>
      <c r="H56" s="1">
        <v>1.31</v>
      </c>
      <c r="I56" s="1">
        <v>1.28</v>
      </c>
      <c r="J56" s="1">
        <v>1.22</v>
      </c>
      <c r="K56">
        <v>304045</v>
      </c>
      <c r="L56">
        <f t="shared" si="24"/>
        <v>0.44017923066900239</v>
      </c>
      <c r="M56" s="1">
        <v>250754</v>
      </c>
      <c r="N56">
        <f t="shared" si="25"/>
        <v>0.38456843138457764</v>
      </c>
      <c r="O56">
        <f t="shared" si="26"/>
        <v>-0.12633671788626916</v>
      </c>
      <c r="P56">
        <f t="shared" si="27"/>
        <v>0.13902474954862457</v>
      </c>
      <c r="Q56">
        <f t="shared" si="28"/>
        <v>0.14269719430293573</v>
      </c>
      <c r="R56">
        <f t="shared" si="29"/>
        <v>1194.5605890479153</v>
      </c>
      <c r="S56">
        <f t="shared" si="30"/>
        <v>1188.674942375176</v>
      </c>
      <c r="T56">
        <f t="shared" si="31"/>
        <v>1402.6356490886453</v>
      </c>
      <c r="U56">
        <v>92297.113769999996</v>
      </c>
      <c r="V56">
        <f t="shared" si="32"/>
        <v>1.5196961116075054E-2</v>
      </c>
      <c r="W56">
        <f t="shared" si="33"/>
        <v>1433.7804854916876</v>
      </c>
      <c r="X56">
        <v>79429.064259999999</v>
      </c>
      <c r="Y56">
        <f t="shared" si="34"/>
        <v>1.8051081160901084E-2</v>
      </c>
      <c r="Z56" s="1">
        <v>16024</v>
      </c>
      <c r="AA56" s="1">
        <f t="shared" si="35"/>
        <v>2.3198644911904796E-2</v>
      </c>
      <c r="AB56" s="1">
        <v>260568</v>
      </c>
      <c r="AC56" s="1">
        <f t="shared" si="120"/>
        <v>0.37723567819553228</v>
      </c>
      <c r="AD56" s="1">
        <v>61.278341249999997</v>
      </c>
      <c r="AE56" s="1">
        <v>25120</v>
      </c>
      <c r="AF56">
        <f t="shared" si="114"/>
        <v>1.5676485272091862</v>
      </c>
      <c r="AG56">
        <f t="shared" si="36"/>
        <v>9.6404777255841081E-2</v>
      </c>
      <c r="AH56">
        <f t="shared" si="116"/>
        <v>6.1561013320596747E-3</v>
      </c>
      <c r="AI56">
        <v>133578</v>
      </c>
      <c r="AJ56">
        <f t="shared" si="37"/>
        <v>174987.18</v>
      </c>
      <c r="AK56">
        <f t="shared" si="121"/>
        <v>0.25766640210977981</v>
      </c>
      <c r="AL56">
        <f t="shared" si="38"/>
        <v>40.567501634999999</v>
      </c>
      <c r="AM56">
        <f t="shared" si="39"/>
        <v>6.3515472169840418E-3</v>
      </c>
      <c r="AN56">
        <v>170.59</v>
      </c>
      <c r="AO56">
        <f t="shared" si="40"/>
        <v>170590</v>
      </c>
      <c r="AP56">
        <f t="shared" si="41"/>
        <v>218355.20000000001</v>
      </c>
      <c r="AQ56">
        <f t="shared" si="122"/>
        <v>0.32523097775493942</v>
      </c>
      <c r="AR56">
        <f t="shared" si="42"/>
        <v>51.759606732800002</v>
      </c>
      <c r="AS56">
        <f t="shared" si="43"/>
        <v>6.2834901245267952E-3</v>
      </c>
      <c r="AT56" s="1">
        <v>19135</v>
      </c>
      <c r="AU56" s="1">
        <f t="shared" si="44"/>
        <v>2.9346359119072449E-2</v>
      </c>
      <c r="AV56" s="1">
        <f t="shared" si="45"/>
        <v>0.26500315990494966</v>
      </c>
      <c r="AW56" s="1">
        <v>214363</v>
      </c>
      <c r="AX56" s="1">
        <f t="shared" si="46"/>
        <v>261522.86</v>
      </c>
      <c r="AY56" s="1">
        <f t="shared" si="123"/>
        <v>0.40108407459665046</v>
      </c>
      <c r="AZ56" s="1">
        <f t="shared" si="47"/>
        <v>6.321882520549095E-2</v>
      </c>
      <c r="BA56" s="1">
        <f t="shared" si="48"/>
        <v>60.4858519474</v>
      </c>
      <c r="BB56" s="1">
        <v>21173</v>
      </c>
      <c r="BC56" s="1">
        <f t="shared" si="49"/>
        <v>25831.059999999998</v>
      </c>
      <c r="BD56" s="1">
        <f t="shared" si="50"/>
        <v>1.3499378102952704</v>
      </c>
      <c r="BE56" s="1">
        <f t="shared" si="51"/>
        <v>9.8771709670045671E-2</v>
      </c>
      <c r="BF56" s="1">
        <f t="shared" si="52"/>
        <v>6.6310395188852282E-3</v>
      </c>
      <c r="BG56" s="1">
        <v>6002</v>
      </c>
      <c r="BH56" s="1">
        <f t="shared" si="53"/>
        <v>8.6893576361241013E-3</v>
      </c>
      <c r="BI56" s="1">
        <v>208869.89499999999</v>
      </c>
      <c r="BJ56" s="1">
        <f t="shared" si="124"/>
        <v>0.30239007282150765</v>
      </c>
      <c r="BK56" s="1">
        <v>101.2013381</v>
      </c>
      <c r="BL56" s="1">
        <v>12286.662</v>
      </c>
      <c r="BM56">
        <f t="shared" si="125"/>
        <v>2.0470946351216264</v>
      </c>
      <c r="BN56">
        <f t="shared" si="126"/>
        <v>5.8824475398908019E-2</v>
      </c>
      <c r="BO56">
        <f t="shared" si="54"/>
        <v>2.9880046894509159E-3</v>
      </c>
      <c r="BP56">
        <v>98647</v>
      </c>
      <c r="BQ56">
        <f t="shared" si="55"/>
        <v>129227.57</v>
      </c>
      <c r="BR56">
        <f t="shared" si="127"/>
        <v>0.19028595703576526</v>
      </c>
      <c r="BS56">
        <f t="shared" si="56"/>
        <v>59.525235619600004</v>
      </c>
      <c r="BT56">
        <f t="shared" si="57"/>
        <v>3.1967274896953016E-3</v>
      </c>
      <c r="BU56">
        <v>124.85</v>
      </c>
      <c r="BV56">
        <f t="shared" si="128"/>
        <v>124850</v>
      </c>
      <c r="BW56">
        <f t="shared" si="58"/>
        <v>159808</v>
      </c>
      <c r="BX56">
        <f t="shared" si="129"/>
        <v>0.23802736135004507</v>
      </c>
      <c r="BY56">
        <f t="shared" si="59"/>
        <v>76.247206297600002</v>
      </c>
      <c r="BZ56">
        <f t="shared" si="60"/>
        <v>3.1217846909826694E-3</v>
      </c>
      <c r="CA56" s="1">
        <v>7012</v>
      </c>
      <c r="CB56" s="1">
        <f t="shared" si="61"/>
        <v>1.0753941475983068E-2</v>
      </c>
      <c r="CC56" s="1">
        <f t="shared" si="62"/>
        <v>0.23759913290666182</v>
      </c>
      <c r="CD56" s="1">
        <v>228589</v>
      </c>
      <c r="CE56" s="1">
        <f t="shared" si="63"/>
        <v>278878.58</v>
      </c>
      <c r="CF56">
        <f t="shared" si="130"/>
        <v>0.42770164407091593</v>
      </c>
      <c r="CG56">
        <f t="shared" si="64"/>
        <v>0.41440372059891056</v>
      </c>
      <c r="CH56">
        <f t="shared" si="65"/>
        <v>90.917938902799989</v>
      </c>
      <c r="CI56" s="1">
        <v>12361</v>
      </c>
      <c r="CJ56" s="1">
        <f t="shared" si="66"/>
        <v>15080.42</v>
      </c>
      <c r="CK56">
        <f t="shared" si="67"/>
        <v>2.150658870507701</v>
      </c>
      <c r="CL56">
        <f t="shared" si="68"/>
        <v>5.4075217967618737E-2</v>
      </c>
      <c r="CM56">
        <f t="shared" si="69"/>
        <v>4.7042602288660555E-3</v>
      </c>
      <c r="CN56" s="1">
        <v>90464</v>
      </c>
      <c r="CO56" s="1">
        <f t="shared" si="70"/>
        <v>0.13096868530395378</v>
      </c>
      <c r="CP56" s="1">
        <v>968373084</v>
      </c>
      <c r="CQ56" s="1">
        <f t="shared" si="131"/>
        <v>1401.9560233376283</v>
      </c>
      <c r="CR56" s="1">
        <v>108123.0123</v>
      </c>
      <c r="CS56" s="1">
        <v>134338714</v>
      </c>
      <c r="CT56">
        <f t="shared" si="71"/>
        <v>1484.9963963565617</v>
      </c>
      <c r="CU56">
        <f t="shared" si="72"/>
        <v>0.13872619573965772</v>
      </c>
      <c r="CV56">
        <f t="shared" si="73"/>
        <v>1.2966305632030826E-2</v>
      </c>
      <c r="CW56" s="1">
        <v>86131</v>
      </c>
      <c r="CX56" s="1">
        <f t="shared" si="74"/>
        <v>0.13209465676952334</v>
      </c>
      <c r="CY56" s="1">
        <f t="shared" si="75"/>
        <v>8.5972571455259685E-3</v>
      </c>
      <c r="CZ56" s="1">
        <v>765853956</v>
      </c>
      <c r="DA56" s="1">
        <f t="shared" si="143"/>
        <v>934341826.31999993</v>
      </c>
      <c r="DB56" s="1">
        <f t="shared" si="133"/>
        <v>1432.95169977302</v>
      </c>
      <c r="DC56" s="1">
        <f t="shared" si="76"/>
        <v>2.2108879251148333E-2</v>
      </c>
      <c r="DD56" s="1">
        <f t="shared" si="77"/>
        <v>93954.54819500001</v>
      </c>
      <c r="DE56" s="1">
        <v>109361585</v>
      </c>
      <c r="DF56" s="1">
        <f t="shared" si="78"/>
        <v>133421133.7</v>
      </c>
      <c r="DG56">
        <f t="shared" si="79"/>
        <v>1549.0489336011424</v>
      </c>
      <c r="DH56">
        <f t="shared" si="80"/>
        <v>0.14279691858117138</v>
      </c>
      <c r="DI56">
        <f t="shared" si="81"/>
        <v>1.5251541594335265E-2</v>
      </c>
      <c r="DJ56" s="1">
        <v>172629</v>
      </c>
      <c r="DK56">
        <f t="shared" si="134"/>
        <v>0.24992254571250705</v>
      </c>
      <c r="DL56">
        <v>1889.3069949999999</v>
      </c>
      <c r="DM56" s="1">
        <v>340968</v>
      </c>
      <c r="DN56" s="3">
        <f t="shared" si="82"/>
        <v>1.322826551608184E-4</v>
      </c>
      <c r="DO56" s="1">
        <v>327268</v>
      </c>
      <c r="DP56" s="1">
        <f t="shared" si="83"/>
        <v>399266.95999999996</v>
      </c>
      <c r="DQ56" s="3">
        <f t="shared" si="135"/>
        <v>0.61233507146800803</v>
      </c>
      <c r="DR56" s="3">
        <f t="shared" si="84"/>
        <v>1905.8896083399998</v>
      </c>
      <c r="DS56" s="3">
        <f t="shared" si="85"/>
        <v>338648.61105342873</v>
      </c>
      <c r="DT56" s="3">
        <f t="shared" si="86"/>
        <v>3.2128569712982607E-4</v>
      </c>
      <c r="DU56" s="3">
        <f t="shared" si="87"/>
        <v>0.99319763453880927</v>
      </c>
      <c r="DV56" s="3">
        <f t="shared" si="88"/>
        <v>506.86011163347297</v>
      </c>
      <c r="DW56" s="3">
        <f t="shared" si="89"/>
        <v>9.8266549102207099E-2</v>
      </c>
      <c r="DX56" s="3">
        <f t="shared" si="90"/>
        <v>969015150.89499998</v>
      </c>
      <c r="DY56" s="3">
        <f t="shared" si="91"/>
        <v>1402.8855716343578</v>
      </c>
      <c r="DZ56" s="3">
        <f t="shared" si="92"/>
        <v>968545713</v>
      </c>
      <c r="EA56" s="3">
        <f t="shared" si="93"/>
        <v>304214.75</v>
      </c>
      <c r="EB56" s="3">
        <f t="shared" si="94"/>
        <v>0.44795235914554504</v>
      </c>
      <c r="EC56" s="3">
        <f t="shared" si="95"/>
        <v>378163.20000000001</v>
      </c>
      <c r="ED56" s="3">
        <f t="shared" si="96"/>
        <v>0.56325833910498446</v>
      </c>
      <c r="EE56" s="9">
        <f t="shared" si="97"/>
        <v>935281494.72000003</v>
      </c>
      <c r="EF56" s="13">
        <f t="shared" si="98"/>
        <v>1434.3928205631557</v>
      </c>
      <c r="EG56" s="14">
        <f t="shared" si="99"/>
        <v>2.2458887286218275E-2</v>
      </c>
      <c r="EH56" s="9">
        <f t="shared" si="100"/>
        <v>934741093.27999997</v>
      </c>
      <c r="EI56" s="10">
        <v>922688</v>
      </c>
      <c r="EJ56" s="10">
        <f t="shared" si="136"/>
        <v>1208721.28</v>
      </c>
      <c r="EK56" s="10">
        <f t="shared" si="101"/>
        <v>1.7798267471430065</v>
      </c>
      <c r="EL56" s="10">
        <v>1521000</v>
      </c>
      <c r="EM56" s="10">
        <f t="shared" si="137"/>
        <v>1946880</v>
      </c>
      <c r="EN56" s="10">
        <f t="shared" si="102"/>
        <v>2.8997966889340692</v>
      </c>
      <c r="EO56" s="11">
        <v>1397973</v>
      </c>
      <c r="EP56" s="11">
        <f t="shared" si="138"/>
        <v>1705527.06</v>
      </c>
      <c r="EQ56" s="11">
        <f t="shared" si="103"/>
        <v>2.6156785780013498</v>
      </c>
      <c r="ER56" s="10">
        <f t="shared" si="104"/>
        <v>7.2953020140784259</v>
      </c>
      <c r="ES56" s="10">
        <f t="shared" si="115"/>
        <v>0.87603091099605523</v>
      </c>
      <c r="ET56" s="12">
        <v>160692</v>
      </c>
      <c r="EU56" s="12">
        <f t="shared" si="139"/>
        <v>210506.52000000002</v>
      </c>
      <c r="EV56" s="12">
        <f t="shared" si="105"/>
        <v>0.30996817954921274</v>
      </c>
      <c r="EW56" s="10">
        <v>81000</v>
      </c>
      <c r="EX56" s="10">
        <f t="shared" si="140"/>
        <v>103680</v>
      </c>
      <c r="EY56" s="10">
        <f t="shared" si="106"/>
        <v>0.15442704260595636</v>
      </c>
      <c r="EZ56" s="3">
        <f t="shared" si="107"/>
        <v>70958.503790680479</v>
      </c>
      <c r="FA56" s="3">
        <f t="shared" si="108"/>
        <v>0.10882538462468634</v>
      </c>
      <c r="FB56" s="3">
        <f t="shared" si="109"/>
        <v>0.57322060677985542</v>
      </c>
      <c r="FC56" s="1">
        <f t="shared" si="110"/>
        <v>0.46530000000000005</v>
      </c>
      <c r="FD56">
        <f>4.73/10</f>
        <v>0.47300000000000003</v>
      </c>
      <c r="FE56">
        <f>5.2</f>
        <v>5.2</v>
      </c>
      <c r="FF56" s="7">
        <f t="shared" si="111"/>
        <v>17.017500000000002</v>
      </c>
      <c r="FG56" s="1">
        <f t="shared" si="112"/>
        <v>2.3635000000000002</v>
      </c>
      <c r="FH56">
        <v>2.63E-2</v>
      </c>
      <c r="FI56">
        <v>3.4000000000000002E-2</v>
      </c>
      <c r="FJ56">
        <v>4.41E-2</v>
      </c>
      <c r="FK56">
        <v>4.0899999999999999E-2</v>
      </c>
      <c r="FL56" s="1">
        <f t="shared" si="113"/>
        <v>2.5666666666666672E-3</v>
      </c>
    </row>
    <row r="57" spans="1:310">
      <c r="A57" t="s">
        <v>111</v>
      </c>
      <c r="B57" s="1" t="s">
        <v>15</v>
      </c>
      <c r="C57" s="1">
        <v>187143</v>
      </c>
      <c r="D57" s="6">
        <f t="shared" si="141"/>
        <v>190195.5</v>
      </c>
      <c r="E57" s="6">
        <f t="shared" si="142"/>
        <v>192230.5</v>
      </c>
      <c r="F57" s="1">
        <v>197318</v>
      </c>
      <c r="G57" s="1">
        <f t="shared" si="119"/>
        <v>1017.5</v>
      </c>
      <c r="H57" s="1">
        <v>1.31</v>
      </c>
      <c r="I57" s="1">
        <v>1.28</v>
      </c>
      <c r="J57" s="1">
        <v>1.22</v>
      </c>
      <c r="K57">
        <v>76567</v>
      </c>
      <c r="L57">
        <f t="shared" si="24"/>
        <v>0.40913632890356572</v>
      </c>
      <c r="M57" s="1">
        <v>75857</v>
      </c>
      <c r="N57">
        <f t="shared" si="25"/>
        <v>0.38444034502680952</v>
      </c>
      <c r="O57">
        <f t="shared" si="26"/>
        <v>-6.0361258905896609E-2</v>
      </c>
      <c r="P57">
        <f t="shared" si="27"/>
        <v>0.22390946099546744</v>
      </c>
      <c r="Q57">
        <f t="shared" si="28"/>
        <v>0.22138261801108045</v>
      </c>
      <c r="R57">
        <f t="shared" si="29"/>
        <v>959.87810576006393</v>
      </c>
      <c r="S57">
        <f t="shared" si="30"/>
        <v>972.63289096625215</v>
      </c>
      <c r="T57">
        <f t="shared" si="31"/>
        <v>749.81213706630763</v>
      </c>
      <c r="U57">
        <v>92297.113769999996</v>
      </c>
      <c r="V57">
        <f t="shared" si="32"/>
        <v>8.1238958233819068E-3</v>
      </c>
      <c r="W57">
        <f t="shared" si="33"/>
        <v>782.55506309611906</v>
      </c>
      <c r="X57">
        <v>79429.064259999999</v>
      </c>
      <c r="Y57">
        <f t="shared" si="34"/>
        <v>9.8522508150736092E-3</v>
      </c>
      <c r="Z57" s="1">
        <v>7355</v>
      </c>
      <c r="AA57" s="1">
        <f t="shared" si="35"/>
        <v>3.9301496716414717E-2</v>
      </c>
      <c r="AB57" s="1">
        <v>92610</v>
      </c>
      <c r="AC57" s="1">
        <f t="shared" si="120"/>
        <v>0.49486221766242927</v>
      </c>
      <c r="AD57" s="1">
        <v>61.278341249999997</v>
      </c>
      <c r="AE57" s="1">
        <v>10228</v>
      </c>
      <c r="AF57">
        <f t="shared" si="114"/>
        <v>1.3906186267845004</v>
      </c>
      <c r="AG57">
        <f t="shared" si="36"/>
        <v>0.11044163697224922</v>
      </c>
      <c r="AH57">
        <f t="shared" si="116"/>
        <v>8.0756464285401865E-3</v>
      </c>
      <c r="AI57">
        <v>47844</v>
      </c>
      <c r="AJ57">
        <f t="shared" si="37"/>
        <v>62675.64</v>
      </c>
      <c r="AK57">
        <f t="shared" si="121"/>
        <v>0.32953271765104852</v>
      </c>
      <c r="AL57">
        <f t="shared" si="38"/>
        <v>40.567501634999999</v>
      </c>
      <c r="AM57">
        <f t="shared" si="39"/>
        <v>8.1230715318870179E-3</v>
      </c>
      <c r="AN57">
        <v>61.27</v>
      </c>
      <c r="AO57">
        <f t="shared" si="40"/>
        <v>61270</v>
      </c>
      <c r="AP57">
        <f t="shared" si="41"/>
        <v>78425.600000000006</v>
      </c>
      <c r="AQ57">
        <f t="shared" si="122"/>
        <v>0.40797688192040288</v>
      </c>
      <c r="AR57">
        <f t="shared" si="42"/>
        <v>51.759606732800002</v>
      </c>
      <c r="AS57">
        <f t="shared" si="43"/>
        <v>7.8821480237767812E-3</v>
      </c>
      <c r="AT57" s="1">
        <v>8712</v>
      </c>
      <c r="AU57" s="1">
        <f t="shared" si="44"/>
        <v>4.4152079384546773E-2</v>
      </c>
      <c r="AV57" s="1">
        <f t="shared" si="45"/>
        <v>0.12341979500506287</v>
      </c>
      <c r="AW57" s="1">
        <v>84268</v>
      </c>
      <c r="AX57" s="1">
        <f t="shared" si="46"/>
        <v>102806.95999999999</v>
      </c>
      <c r="AY57" s="1">
        <f t="shared" si="123"/>
        <v>0.52102170101055145</v>
      </c>
      <c r="AZ57" s="1">
        <f t="shared" si="47"/>
        <v>5.2862155190774529E-2</v>
      </c>
      <c r="BA57" s="1">
        <f t="shared" si="48"/>
        <v>60.4858519474</v>
      </c>
      <c r="BB57" s="1">
        <v>9108</v>
      </c>
      <c r="BC57" s="1">
        <f t="shared" si="49"/>
        <v>11111.76</v>
      </c>
      <c r="BD57" s="1">
        <f t="shared" si="50"/>
        <v>1.2754545454545454</v>
      </c>
      <c r="BE57" s="1">
        <f t="shared" si="51"/>
        <v>0.10808373285232829</v>
      </c>
      <c r="BF57" s="1">
        <f t="shared" si="52"/>
        <v>8.6139433311387403E-3</v>
      </c>
      <c r="BG57" s="1">
        <v>1441</v>
      </c>
      <c r="BH57" s="1">
        <f t="shared" si="53"/>
        <v>7.6999941221418912E-3</v>
      </c>
      <c r="BI57" s="1">
        <v>38140.767</v>
      </c>
      <c r="BJ57" s="1">
        <f t="shared" si="124"/>
        <v>0.20380546961414533</v>
      </c>
      <c r="BK57" s="1">
        <v>101.2013381</v>
      </c>
      <c r="BL57" s="1">
        <v>2420.3649999999998</v>
      </c>
      <c r="BM57">
        <f t="shared" si="125"/>
        <v>1.6796426092990977</v>
      </c>
      <c r="BN57">
        <f t="shared" si="126"/>
        <v>6.345873956860909E-2</v>
      </c>
      <c r="BO57">
        <f t="shared" si="54"/>
        <v>2.0138614117212483E-3</v>
      </c>
      <c r="BP57">
        <v>21962</v>
      </c>
      <c r="BQ57">
        <f t="shared" si="55"/>
        <v>28770.22</v>
      </c>
      <c r="BR57">
        <f t="shared" si="127"/>
        <v>0.15126656519213125</v>
      </c>
      <c r="BS57">
        <f t="shared" si="56"/>
        <v>59.525235619600004</v>
      </c>
      <c r="BT57">
        <f t="shared" si="57"/>
        <v>2.5412174117009859E-3</v>
      </c>
      <c r="BU57">
        <v>35.44</v>
      </c>
      <c r="BV57">
        <f t="shared" si="128"/>
        <v>35440</v>
      </c>
      <c r="BW57">
        <f t="shared" si="58"/>
        <v>45363.200000000004</v>
      </c>
      <c r="BX57">
        <f t="shared" si="129"/>
        <v>0.23598336372219811</v>
      </c>
      <c r="BY57">
        <f t="shared" si="59"/>
        <v>76.247206297600002</v>
      </c>
      <c r="BZ57">
        <f t="shared" si="60"/>
        <v>3.0949771825230276E-3</v>
      </c>
      <c r="CA57" s="1">
        <v>1902</v>
      </c>
      <c r="CB57" s="1">
        <f t="shared" si="61"/>
        <v>9.6392625102626212E-3</v>
      </c>
      <c r="CC57" s="1">
        <f t="shared" si="62"/>
        <v>0.25185322967250368</v>
      </c>
      <c r="CD57" s="1">
        <v>41191</v>
      </c>
      <c r="CE57" s="1">
        <f t="shared" si="63"/>
        <v>50253.02</v>
      </c>
      <c r="CF57">
        <f t="shared" si="130"/>
        <v>0.25468036367690733</v>
      </c>
      <c r="CG57">
        <f t="shared" si="64"/>
        <v>0.24962477287327409</v>
      </c>
      <c r="CH57">
        <f t="shared" si="65"/>
        <v>90.917938902799989</v>
      </c>
      <c r="CI57" s="1">
        <v>3000</v>
      </c>
      <c r="CJ57" s="1">
        <f t="shared" si="66"/>
        <v>3660</v>
      </c>
      <c r="CK57">
        <f t="shared" si="67"/>
        <v>1.9242902208201893</v>
      </c>
      <c r="CL57">
        <f t="shared" si="68"/>
        <v>7.2831443761986844E-2</v>
      </c>
      <c r="CM57">
        <f t="shared" si="69"/>
        <v>2.8012113643401562E-3</v>
      </c>
      <c r="CN57" s="1">
        <v>23721</v>
      </c>
      <c r="CO57" s="1">
        <f t="shared" si="70"/>
        <v>0.12675333835623026</v>
      </c>
      <c r="CP57" s="1">
        <v>140191342</v>
      </c>
      <c r="CQ57" s="1">
        <f t="shared" si="131"/>
        <v>749.11346937903102</v>
      </c>
      <c r="CR57" s="1">
        <v>108123.0123</v>
      </c>
      <c r="CS57" s="1">
        <v>31199708</v>
      </c>
      <c r="CT57">
        <f t="shared" si="71"/>
        <v>1315.2779393786097</v>
      </c>
      <c r="CU57">
        <f t="shared" si="72"/>
        <v>0.2225508904822382</v>
      </c>
      <c r="CV57">
        <f t="shared" si="73"/>
        <v>6.9283444240392381E-3</v>
      </c>
      <c r="CW57" s="1">
        <v>25329</v>
      </c>
      <c r="CX57" s="1">
        <f t="shared" si="74"/>
        <v>0.12836639333461722</v>
      </c>
      <c r="CY57" s="1">
        <f t="shared" si="75"/>
        <v>1.2725936841628531E-2</v>
      </c>
      <c r="CZ57" s="1">
        <v>126441918</v>
      </c>
      <c r="DA57" s="1">
        <f t="shared" si="143"/>
        <v>154259139.96000001</v>
      </c>
      <c r="DB57" s="1">
        <f t="shared" si="133"/>
        <v>781.77936103143156</v>
      </c>
      <c r="DC57" s="1">
        <f t="shared" si="76"/>
        <v>4.3606066353977804E-2</v>
      </c>
      <c r="DD57" s="1">
        <f t="shared" si="77"/>
        <v>93954.54819500001</v>
      </c>
      <c r="DE57" s="1">
        <v>28643092</v>
      </c>
      <c r="DF57" s="1">
        <f t="shared" si="78"/>
        <v>34944572.240000002</v>
      </c>
      <c r="DG57">
        <f t="shared" si="79"/>
        <v>1379.6269983023412</v>
      </c>
      <c r="DH57">
        <f t="shared" si="80"/>
        <v>0.2265316158839033</v>
      </c>
      <c r="DI57">
        <f t="shared" si="81"/>
        <v>8.3208250803236319E-3</v>
      </c>
      <c r="DJ57" s="1">
        <v>2533717</v>
      </c>
      <c r="DK57">
        <f t="shared" si="134"/>
        <v>13.538935466461476</v>
      </c>
      <c r="DL57">
        <v>1889.3069949999999</v>
      </c>
      <c r="DM57" s="1">
        <v>774411</v>
      </c>
      <c r="DN57" s="3">
        <f t="shared" si="82"/>
        <v>7.1660855024047992E-3</v>
      </c>
      <c r="DO57" s="1">
        <v>2870066</v>
      </c>
      <c r="DP57" s="1">
        <f t="shared" si="83"/>
        <v>3501480.52</v>
      </c>
      <c r="DQ57" s="3">
        <f t="shared" si="135"/>
        <v>17.745367984674484</v>
      </c>
      <c r="DR57" s="3">
        <f t="shared" si="84"/>
        <v>1905.8896083399998</v>
      </c>
      <c r="DS57" s="3">
        <f t="shared" si="85"/>
        <v>867377.65741846454</v>
      </c>
      <c r="DT57" s="3">
        <f t="shared" si="86"/>
        <v>9.3108057817317263E-3</v>
      </c>
      <c r="DU57" s="3">
        <f t="shared" si="87"/>
        <v>1.1200482139567549</v>
      </c>
      <c r="DV57" s="3">
        <f t="shared" si="88"/>
        <v>450.19582394721823</v>
      </c>
      <c r="DW57" s="3">
        <f t="shared" si="89"/>
        <v>0.13398300992021916</v>
      </c>
      <c r="DX57" s="3">
        <f t="shared" si="90"/>
        <v>142855809.76699999</v>
      </c>
      <c r="DY57" s="3">
        <f t="shared" si="91"/>
        <v>763.35107253276897</v>
      </c>
      <c r="DZ57" s="3">
        <f t="shared" si="92"/>
        <v>142725059</v>
      </c>
      <c r="EA57" s="3">
        <f t="shared" si="93"/>
        <v>91445.86</v>
      </c>
      <c r="EB57" s="3">
        <f t="shared" si="94"/>
        <v>0.4807992828431798</v>
      </c>
      <c r="EC57" s="3">
        <f t="shared" si="95"/>
        <v>123788.80000000002</v>
      </c>
      <c r="ED57" s="3">
        <f t="shared" si="96"/>
        <v>0.64396024564260101</v>
      </c>
      <c r="EE57" s="9">
        <f t="shared" si="97"/>
        <v>157913680.46000001</v>
      </c>
      <c r="EF57" s="13">
        <f t="shared" si="98"/>
        <v>800.30043108079349</v>
      </c>
      <c r="EG57" s="14">
        <f t="shared" si="99"/>
        <v>4.8404148336921825E-2</v>
      </c>
      <c r="EH57" s="9">
        <f t="shared" si="100"/>
        <v>157760620.48000002</v>
      </c>
      <c r="EI57" s="10">
        <v>165943</v>
      </c>
      <c r="EJ57" s="10">
        <f t="shared" si="136"/>
        <v>217385.33000000002</v>
      </c>
      <c r="EK57" s="10">
        <f t="shared" si="101"/>
        <v>1.142957272911294</v>
      </c>
      <c r="EL57" s="10">
        <v>363000</v>
      </c>
      <c r="EM57" s="10">
        <f t="shared" si="137"/>
        <v>464640</v>
      </c>
      <c r="EN57" s="10">
        <f t="shared" si="102"/>
        <v>2.4170982232268035</v>
      </c>
      <c r="EO57" s="11">
        <v>1109045</v>
      </c>
      <c r="EP57" s="11">
        <f t="shared" si="138"/>
        <v>1353034.9</v>
      </c>
      <c r="EQ57" s="11">
        <f t="shared" si="103"/>
        <v>6.8571285944515958</v>
      </c>
      <c r="ER57" s="10">
        <f t="shared" si="104"/>
        <v>10.417184090589693</v>
      </c>
      <c r="ES57" s="10">
        <f t="shared" si="115"/>
        <v>2.9120069300964184</v>
      </c>
      <c r="ET57" s="12">
        <v>90605</v>
      </c>
      <c r="EU57" s="12">
        <f t="shared" si="139"/>
        <v>118692.55</v>
      </c>
      <c r="EV57" s="12">
        <f t="shared" si="105"/>
        <v>0.62405551130284365</v>
      </c>
      <c r="EW57" s="10">
        <v>8000</v>
      </c>
      <c r="EX57" s="10">
        <f t="shared" si="140"/>
        <v>10240</v>
      </c>
      <c r="EY57" s="10">
        <f t="shared" si="106"/>
        <v>5.326938233006729E-2</v>
      </c>
      <c r="EZ57" s="3">
        <f t="shared" si="107"/>
        <v>23296.055440771346</v>
      </c>
      <c r="FA57" s="3">
        <f t="shared" si="108"/>
        <v>0.11806350885763765</v>
      </c>
      <c r="FB57" s="3">
        <f t="shared" si="109"/>
        <v>0.79538840249054854</v>
      </c>
      <c r="FC57" s="1">
        <f t="shared" si="110"/>
        <v>0.43730000000000002</v>
      </c>
      <c r="FD57">
        <f>4.45/10</f>
        <v>0.44500000000000001</v>
      </c>
      <c r="FE57">
        <f>5.1</f>
        <v>5.0999999999999996</v>
      </c>
      <c r="FF57" s="7">
        <f t="shared" si="111"/>
        <v>16.737499999999997</v>
      </c>
      <c r="FG57" s="1">
        <f t="shared" si="112"/>
        <v>2.3274999999999997</v>
      </c>
      <c r="FH57">
        <v>2.63E-2</v>
      </c>
      <c r="FI57">
        <v>3.4000000000000002E-2</v>
      </c>
      <c r="FJ57">
        <v>4.41E-2</v>
      </c>
      <c r="FK57">
        <v>4.0899999999999999E-2</v>
      </c>
      <c r="FL57" s="1">
        <f t="shared" si="113"/>
        <v>2.5666666666666672E-3</v>
      </c>
    </row>
    <row r="58" spans="1:310">
      <c r="A58" t="s">
        <v>112</v>
      </c>
      <c r="B58" s="1" t="s">
        <v>16</v>
      </c>
      <c r="C58" s="1">
        <v>211953</v>
      </c>
      <c r="D58" s="6">
        <f t="shared" si="141"/>
        <v>214761.60000000001</v>
      </c>
      <c r="E58" s="6">
        <f t="shared" si="142"/>
        <v>216634</v>
      </c>
      <c r="F58" s="1">
        <v>221315</v>
      </c>
      <c r="G58" s="1">
        <f t="shared" si="119"/>
        <v>936.2</v>
      </c>
      <c r="H58" s="1">
        <v>1.31</v>
      </c>
      <c r="I58" s="1">
        <v>1.28</v>
      </c>
      <c r="J58" s="1">
        <v>1.22</v>
      </c>
      <c r="K58">
        <v>94342</v>
      </c>
      <c r="L58">
        <f t="shared" si="24"/>
        <v>0.44510811359122071</v>
      </c>
      <c r="M58" s="1">
        <v>85288</v>
      </c>
      <c r="N58">
        <f t="shared" si="25"/>
        <v>0.38536927004495852</v>
      </c>
      <c r="O58">
        <f t="shared" si="26"/>
        <v>-0.13421198518327901</v>
      </c>
      <c r="P58">
        <f t="shared" si="27"/>
        <v>0.23730665471699491</v>
      </c>
      <c r="Q58">
        <f t="shared" si="28"/>
        <v>0.15186330750954624</v>
      </c>
      <c r="R58">
        <f t="shared" si="29"/>
        <v>850.13002473943732</v>
      </c>
      <c r="S58">
        <f t="shared" si="30"/>
        <v>608.77004115226339</v>
      </c>
      <c r="T58">
        <f t="shared" si="31"/>
        <v>604.02949702056583</v>
      </c>
      <c r="U58">
        <v>92297.113769999996</v>
      </c>
      <c r="V58">
        <f t="shared" si="32"/>
        <v>6.5444028783584558E-3</v>
      </c>
      <c r="W58">
        <f t="shared" si="33"/>
        <v>525.53215904931881</v>
      </c>
      <c r="X58">
        <v>79429.064259999999</v>
      </c>
      <c r="Y58">
        <f t="shared" si="34"/>
        <v>6.6163710216837297E-3</v>
      </c>
      <c r="Z58" s="1">
        <v>9876</v>
      </c>
      <c r="AA58" s="1">
        <f t="shared" si="35"/>
        <v>4.6595235736224538E-2</v>
      </c>
      <c r="AB58" s="1">
        <v>122740</v>
      </c>
      <c r="AC58" s="1">
        <f t="shared" si="120"/>
        <v>0.57909064745486027</v>
      </c>
      <c r="AD58" s="1">
        <v>61.278341249999997</v>
      </c>
      <c r="AE58" s="1">
        <v>13910</v>
      </c>
      <c r="AF58">
        <f t="shared" si="114"/>
        <v>1.4084649655731065</v>
      </c>
      <c r="AG58">
        <f t="shared" si="36"/>
        <v>0.11332898810493726</v>
      </c>
      <c r="AH58">
        <f t="shared" si="116"/>
        <v>9.4501684549899642E-3</v>
      </c>
      <c r="AI58">
        <v>80460</v>
      </c>
      <c r="AJ58">
        <f t="shared" si="37"/>
        <v>105402.6</v>
      </c>
      <c r="AK58">
        <f t="shared" si="121"/>
        <v>0.4907888561083546</v>
      </c>
      <c r="AL58">
        <f t="shared" si="38"/>
        <v>40.567501634999999</v>
      </c>
      <c r="AM58">
        <f t="shared" si="39"/>
        <v>1.2098079406618469E-2</v>
      </c>
      <c r="AN58">
        <v>95.37</v>
      </c>
      <c r="AO58">
        <f t="shared" si="40"/>
        <v>95370</v>
      </c>
      <c r="AP58">
        <f t="shared" si="41"/>
        <v>122073.60000000001</v>
      </c>
      <c r="AQ58">
        <f t="shared" si="122"/>
        <v>0.56350157408347723</v>
      </c>
      <c r="AR58">
        <f t="shared" si="42"/>
        <v>51.759606732800002</v>
      </c>
      <c r="AS58">
        <f t="shared" si="43"/>
        <v>1.0886898291025595E-2</v>
      </c>
      <c r="AT58" s="1">
        <v>12207</v>
      </c>
      <c r="AU58" s="1">
        <f t="shared" si="44"/>
        <v>5.5156677134401193E-2</v>
      </c>
      <c r="AV58" s="1">
        <f t="shared" si="45"/>
        <v>0.18374070359130584</v>
      </c>
      <c r="AW58" s="1">
        <v>116292</v>
      </c>
      <c r="AX58" s="1">
        <f t="shared" si="46"/>
        <v>141876.24</v>
      </c>
      <c r="AY58" s="1">
        <f t="shared" si="123"/>
        <v>0.64106020830038624</v>
      </c>
      <c r="AZ58" s="1">
        <f t="shared" si="47"/>
        <v>0.10701184886664301</v>
      </c>
      <c r="BA58" s="1">
        <f t="shared" si="48"/>
        <v>60.4858519474</v>
      </c>
      <c r="BB58" s="1">
        <v>13175</v>
      </c>
      <c r="BC58" s="1">
        <f t="shared" si="49"/>
        <v>16073.5</v>
      </c>
      <c r="BD58" s="1">
        <f t="shared" si="50"/>
        <v>1.3167444908658965</v>
      </c>
      <c r="BE58" s="1">
        <f t="shared" si="51"/>
        <v>0.11329240188491041</v>
      </c>
      <c r="BF58" s="1">
        <f t="shared" si="52"/>
        <v>1.0598514985915517E-2</v>
      </c>
      <c r="BG58" s="1">
        <v>3862</v>
      </c>
      <c r="BH58" s="1">
        <f t="shared" si="53"/>
        <v>1.8221020697984931E-2</v>
      </c>
      <c r="BI58" s="1">
        <v>128783.982</v>
      </c>
      <c r="BJ58" s="1">
        <f t="shared" si="124"/>
        <v>0.60760631838190549</v>
      </c>
      <c r="BK58" s="1">
        <v>101.2013381</v>
      </c>
      <c r="BL58" s="1">
        <v>7256.8429999999998</v>
      </c>
      <c r="BM58">
        <f t="shared" si="125"/>
        <v>1.879037545313309</v>
      </c>
      <c r="BN58">
        <f t="shared" si="126"/>
        <v>5.6348956502991182E-2</v>
      </c>
      <c r="BO58">
        <f t="shared" si="54"/>
        <v>6.0039356177436299E-3</v>
      </c>
      <c r="BP58">
        <v>87478</v>
      </c>
      <c r="BQ58">
        <f t="shared" si="55"/>
        <v>114596.18000000001</v>
      </c>
      <c r="BR58">
        <f t="shared" si="127"/>
        <v>0.53359716075872043</v>
      </c>
      <c r="BS58">
        <f t="shared" si="56"/>
        <v>59.525235619600004</v>
      </c>
      <c r="BT58">
        <f t="shared" si="57"/>
        <v>8.9642175323539873E-3</v>
      </c>
      <c r="BU58">
        <v>108.53</v>
      </c>
      <c r="BV58">
        <f t="shared" si="128"/>
        <v>108530</v>
      </c>
      <c r="BW58">
        <f t="shared" si="58"/>
        <v>138918.39999999999</v>
      </c>
      <c r="BX58">
        <f t="shared" si="129"/>
        <v>0.64125852820886842</v>
      </c>
      <c r="BY58">
        <f t="shared" si="59"/>
        <v>76.247206297600002</v>
      </c>
      <c r="BZ58">
        <f t="shared" si="60"/>
        <v>8.4102560519525946E-3</v>
      </c>
      <c r="CA58" s="1">
        <v>4539</v>
      </c>
      <c r="CB58" s="1">
        <f t="shared" si="61"/>
        <v>2.0509228927094864E-2</v>
      </c>
      <c r="CC58" s="1">
        <f t="shared" si="62"/>
        <v>0.12558068326891184</v>
      </c>
      <c r="CD58" s="1">
        <v>125013</v>
      </c>
      <c r="CE58" s="1">
        <f t="shared" si="63"/>
        <v>152515.85999999999</v>
      </c>
      <c r="CF58">
        <f t="shared" si="130"/>
        <v>0.68913476266859452</v>
      </c>
      <c r="CG58">
        <f t="shared" si="64"/>
        <v>0.13417971772216672</v>
      </c>
      <c r="CH58">
        <f t="shared" si="65"/>
        <v>90.917938902799989</v>
      </c>
      <c r="CI58" s="1">
        <v>8011</v>
      </c>
      <c r="CJ58" s="1">
        <f t="shared" si="66"/>
        <v>9773.42</v>
      </c>
      <c r="CK58">
        <f t="shared" si="67"/>
        <v>2.1532099581405597</v>
      </c>
      <c r="CL58">
        <f t="shared" si="68"/>
        <v>6.4081335541103734E-2</v>
      </c>
      <c r="CM58">
        <f t="shared" si="69"/>
        <v>7.5797446684899641E-3</v>
      </c>
      <c r="CN58" s="1">
        <v>21954</v>
      </c>
      <c r="CO58" s="1">
        <f t="shared" si="70"/>
        <v>0.10357956716819294</v>
      </c>
      <c r="CP58" s="1">
        <v>127774340</v>
      </c>
      <c r="CQ58" s="1">
        <f t="shared" si="131"/>
        <v>602.84280005472908</v>
      </c>
      <c r="CR58" s="1">
        <v>108123.0123</v>
      </c>
      <c r="CS58" s="1">
        <v>30321674</v>
      </c>
      <c r="CT58">
        <f t="shared" si="71"/>
        <v>1381.1457593149312</v>
      </c>
      <c r="CU58">
        <f t="shared" si="72"/>
        <v>0.23730644196636039</v>
      </c>
      <c r="CV58">
        <f t="shared" si="73"/>
        <v>5.5755272372736983E-3</v>
      </c>
      <c r="CW58" s="1">
        <v>12900</v>
      </c>
      <c r="CX58" s="1">
        <f t="shared" si="74"/>
        <v>5.828796059914601E-2</v>
      </c>
      <c r="CY58" s="1">
        <f t="shared" si="75"/>
        <v>-0.43726391031835682</v>
      </c>
      <c r="CZ58" s="1">
        <v>95093244</v>
      </c>
      <c r="DA58" s="1">
        <f t="shared" si="143"/>
        <v>116013757.67999999</v>
      </c>
      <c r="DB58" s="1">
        <f t="shared" si="133"/>
        <v>524.20196407834987</v>
      </c>
      <c r="DC58" s="1">
        <f t="shared" si="76"/>
        <v>-0.13044998790603421</v>
      </c>
      <c r="DD58" s="1">
        <f t="shared" si="77"/>
        <v>93954.54819500001</v>
      </c>
      <c r="DE58" s="1">
        <v>14771926</v>
      </c>
      <c r="DF58" s="1">
        <f t="shared" si="78"/>
        <v>18021749.719999999</v>
      </c>
      <c r="DG58">
        <f t="shared" si="79"/>
        <v>1397.0348620155037</v>
      </c>
      <c r="DH58">
        <f t="shared" si="80"/>
        <v>0.15534148777172857</v>
      </c>
      <c r="DI58">
        <f t="shared" si="81"/>
        <v>5.5793144041348958E-3</v>
      </c>
      <c r="DJ58" s="1">
        <v>2131838</v>
      </c>
      <c r="DK58">
        <f t="shared" si="134"/>
        <v>10.058069477667219</v>
      </c>
      <c r="DL58">
        <v>1889.3069949999999</v>
      </c>
      <c r="DM58" s="1">
        <v>544448</v>
      </c>
      <c r="DN58" s="3">
        <f t="shared" si="82"/>
        <v>5.3236819131489109E-3</v>
      </c>
      <c r="DO58" s="1">
        <v>2076157</v>
      </c>
      <c r="DP58" s="1">
        <f t="shared" si="83"/>
        <v>2532911.54</v>
      </c>
      <c r="DQ58" s="3">
        <f t="shared" si="135"/>
        <v>11.444825429817229</v>
      </c>
      <c r="DR58" s="3">
        <f t="shared" si="84"/>
        <v>1905.8896083399998</v>
      </c>
      <c r="DS58" s="3">
        <f t="shared" si="85"/>
        <v>323831.83718018758</v>
      </c>
      <c r="DT58" s="3">
        <f t="shared" si="86"/>
        <v>6.0049781371049578E-3</v>
      </c>
      <c r="DU58" s="3">
        <f t="shared" si="87"/>
        <v>0.59478928599276248</v>
      </c>
      <c r="DV58" s="3">
        <f t="shared" si="88"/>
        <v>464.15634638172128</v>
      </c>
      <c r="DW58" s="3">
        <f t="shared" si="89"/>
        <v>0.12328326862867194</v>
      </c>
      <c r="DX58" s="3">
        <f t="shared" si="90"/>
        <v>130157701.98199999</v>
      </c>
      <c r="DY58" s="3">
        <f t="shared" si="91"/>
        <v>614.08756649823306</v>
      </c>
      <c r="DZ58" s="3">
        <f t="shared" si="92"/>
        <v>129906178</v>
      </c>
      <c r="EA58" s="3">
        <f t="shared" si="93"/>
        <v>219998.78000000003</v>
      </c>
      <c r="EB58" s="3">
        <f t="shared" si="94"/>
        <v>1.0243860168670751</v>
      </c>
      <c r="EC58" s="3">
        <f t="shared" si="95"/>
        <v>260992</v>
      </c>
      <c r="ED58" s="3">
        <f t="shared" si="96"/>
        <v>1.2047601022923455</v>
      </c>
      <c r="EE58" s="9">
        <f t="shared" si="97"/>
        <v>118841061.31999999</v>
      </c>
      <c r="EF58" s="13">
        <f t="shared" si="98"/>
        <v>536.97698447913604</v>
      </c>
      <c r="EG58" s="14">
        <f t="shared" si="99"/>
        <v>-0.12556935887631085</v>
      </c>
      <c r="EH58" s="9">
        <f t="shared" si="100"/>
        <v>118546669.22</v>
      </c>
      <c r="EI58" s="10">
        <v>310018</v>
      </c>
      <c r="EJ58" s="10">
        <f t="shared" si="136"/>
        <v>406123.58</v>
      </c>
      <c r="EK58" s="10">
        <f t="shared" si="101"/>
        <v>1.8910437433880172</v>
      </c>
      <c r="EL58" s="10">
        <v>337000</v>
      </c>
      <c r="EM58" s="10">
        <f t="shared" si="137"/>
        <v>431360</v>
      </c>
      <c r="EN58" s="10">
        <f t="shared" si="102"/>
        <v>1.9911925182565986</v>
      </c>
      <c r="EO58" s="11">
        <v>567174</v>
      </c>
      <c r="EP58" s="11">
        <f t="shared" si="138"/>
        <v>691952.28</v>
      </c>
      <c r="EQ58" s="11">
        <f t="shared" si="103"/>
        <v>3.126549397916996</v>
      </c>
      <c r="ER58" s="10">
        <f t="shared" si="104"/>
        <v>7.008785659561612</v>
      </c>
      <c r="ES58" s="10">
        <f t="shared" si="115"/>
        <v>1.6041178597922849</v>
      </c>
      <c r="ET58" s="12">
        <v>81368</v>
      </c>
      <c r="EU58" s="12">
        <f t="shared" si="139"/>
        <v>106592.08</v>
      </c>
      <c r="EV58" s="12">
        <f t="shared" si="105"/>
        <v>0.49632746263764099</v>
      </c>
      <c r="EW58" s="10">
        <v>15000</v>
      </c>
      <c r="EX58" s="10">
        <f t="shared" si="140"/>
        <v>19200</v>
      </c>
      <c r="EY58" s="10">
        <f t="shared" si="106"/>
        <v>8.8628747103409442E-2</v>
      </c>
      <c r="EZ58" s="3">
        <f t="shared" si="107"/>
        <v>24061.767896884274</v>
      </c>
      <c r="FA58" s="3">
        <f t="shared" si="108"/>
        <v>0.1087218123348362</v>
      </c>
      <c r="FB58" s="3">
        <f t="shared" si="109"/>
        <v>0.69367802207588669</v>
      </c>
      <c r="FC58" s="1">
        <f t="shared" si="110"/>
        <v>0.52929999999999999</v>
      </c>
      <c r="FD58">
        <f>5.37/10</f>
        <v>0.53700000000000003</v>
      </c>
      <c r="FE58">
        <f>5.1</f>
        <v>5.0999999999999996</v>
      </c>
      <c r="FF58" s="7">
        <f t="shared" si="111"/>
        <v>16.5075</v>
      </c>
      <c r="FG58" s="1">
        <f t="shared" si="112"/>
        <v>2.2814999999999999</v>
      </c>
      <c r="FH58">
        <v>2.63E-2</v>
      </c>
      <c r="FI58">
        <v>3.4000000000000002E-2</v>
      </c>
      <c r="FJ58">
        <v>4.41E-2</v>
      </c>
      <c r="FK58">
        <v>4.0899999999999999E-2</v>
      </c>
      <c r="FL58" s="1">
        <f t="shared" si="113"/>
        <v>2.5666666666666672E-3</v>
      </c>
    </row>
    <row r="59" spans="1:310">
      <c r="A59" t="s">
        <v>112</v>
      </c>
      <c r="B59" s="1" t="s">
        <v>17</v>
      </c>
      <c r="C59" s="1">
        <v>762408</v>
      </c>
      <c r="D59" s="6">
        <f t="shared" si="141"/>
        <v>773198.7</v>
      </c>
      <c r="E59" s="6">
        <f t="shared" si="142"/>
        <v>780392.5</v>
      </c>
      <c r="F59" s="1">
        <v>798377</v>
      </c>
      <c r="G59" s="1">
        <f t="shared" ref="G59:G84" si="144">(F59-C59)/10</f>
        <v>3596.9</v>
      </c>
      <c r="H59" s="1">
        <v>1.31</v>
      </c>
      <c r="I59" s="1">
        <v>1.28</v>
      </c>
      <c r="J59" s="1">
        <v>1.22</v>
      </c>
      <c r="K59">
        <v>310641</v>
      </c>
      <c r="L59">
        <f t="shared" si="24"/>
        <v>0.40744719362860832</v>
      </c>
      <c r="M59" s="1">
        <v>269762</v>
      </c>
      <c r="N59">
        <f t="shared" si="25"/>
        <v>0.33788799026024047</v>
      </c>
      <c r="O59">
        <f t="shared" si="26"/>
        <v>-0.17071955447500684</v>
      </c>
      <c r="P59">
        <f t="shared" si="27"/>
        <v>0.14711511371244065</v>
      </c>
      <c r="Q59">
        <f t="shared" si="28"/>
        <v>0.13742094911918887</v>
      </c>
      <c r="R59">
        <f t="shared" si="29"/>
        <v>1005.3310540468043</v>
      </c>
      <c r="S59">
        <f t="shared" si="30"/>
        <v>1039.1101339840052</v>
      </c>
      <c r="T59">
        <f t="shared" si="31"/>
        <v>1241.6508425226389</v>
      </c>
      <c r="U59">
        <v>92297.113769999996</v>
      </c>
      <c r="V59">
        <f t="shared" si="32"/>
        <v>1.3452759157959951E-2</v>
      </c>
      <c r="W59">
        <f t="shared" si="33"/>
        <v>1081.2037681947249</v>
      </c>
      <c r="X59">
        <v>79429.064259999999</v>
      </c>
      <c r="Y59">
        <f t="shared" si="34"/>
        <v>1.361219319738622E-2</v>
      </c>
      <c r="Z59" s="1">
        <v>30493</v>
      </c>
      <c r="AA59" s="1">
        <f t="shared" si="35"/>
        <v>3.9995645376229003E-2</v>
      </c>
      <c r="AB59" s="1">
        <v>391116</v>
      </c>
      <c r="AC59" s="1">
        <f t="shared" ref="AC59:AC84" si="145">AB59/C59</f>
        <v>0.51300091289703154</v>
      </c>
      <c r="AD59" s="1">
        <v>61.278341249999997</v>
      </c>
      <c r="AE59" s="1">
        <v>42602</v>
      </c>
      <c r="AF59">
        <f t="shared" si="114"/>
        <v>1.3971075328763978</v>
      </c>
      <c r="AG59">
        <f t="shared" si="36"/>
        <v>0.10892420662923531</v>
      </c>
      <c r="AH59">
        <f t="shared" si="116"/>
        <v>8.3716514258132205E-3</v>
      </c>
      <c r="AI59">
        <v>187455</v>
      </c>
      <c r="AJ59">
        <f t="shared" si="37"/>
        <v>245566.05000000002</v>
      </c>
      <c r="AK59">
        <f t="shared" ref="AK59:AK84" si="146">AJ59/D59</f>
        <v>0.31759759813357163</v>
      </c>
      <c r="AL59">
        <f t="shared" si="38"/>
        <v>40.567501634999999</v>
      </c>
      <c r="AM59">
        <f t="shared" si="39"/>
        <v>7.8288675746194161E-3</v>
      </c>
      <c r="AN59">
        <v>244.9</v>
      </c>
      <c r="AO59">
        <f t="shared" si="40"/>
        <v>244900</v>
      </c>
      <c r="AP59">
        <f t="shared" si="41"/>
        <v>313472</v>
      </c>
      <c r="AQ59">
        <f t="shared" ref="AQ59:AQ84" si="147">AP59/E59</f>
        <v>0.40168504951034256</v>
      </c>
      <c r="AR59">
        <f t="shared" si="42"/>
        <v>51.759606732800002</v>
      </c>
      <c r="AS59">
        <f t="shared" si="43"/>
        <v>7.7605892870085359E-3</v>
      </c>
      <c r="AT59" s="1">
        <v>33685</v>
      </c>
      <c r="AU59" s="1">
        <f t="shared" si="44"/>
        <v>4.2191846709010904E-2</v>
      </c>
      <c r="AV59" s="1">
        <f t="shared" si="45"/>
        <v>5.4911011239418342E-2</v>
      </c>
      <c r="AW59" s="1">
        <v>304049</v>
      </c>
      <c r="AX59" s="1">
        <f t="shared" si="46"/>
        <v>370939.77999999997</v>
      </c>
      <c r="AY59" s="1">
        <f t="shared" ref="AY59:AY84" si="148">AX59/F59</f>
        <v>0.46461731738264</v>
      </c>
      <c r="AZ59" s="1">
        <f t="shared" si="47"/>
        <v>-9.4314833166979153E-2</v>
      </c>
      <c r="BA59" s="1">
        <f t="shared" si="48"/>
        <v>60.4858519474</v>
      </c>
      <c r="BB59" s="1">
        <v>34172</v>
      </c>
      <c r="BC59" s="1">
        <f t="shared" si="49"/>
        <v>41689.839999999997</v>
      </c>
      <c r="BD59" s="1">
        <f t="shared" si="50"/>
        <v>1.2376381178566127</v>
      </c>
      <c r="BE59" s="1">
        <f t="shared" si="51"/>
        <v>0.11238977927899779</v>
      </c>
      <c r="BF59" s="1">
        <f t="shared" si="52"/>
        <v>7.6814213972993678E-3</v>
      </c>
      <c r="BG59" s="1">
        <v>14836</v>
      </c>
      <c r="BH59" s="1">
        <f t="shared" si="53"/>
        <v>1.945939706823643E-2</v>
      </c>
      <c r="BI59" s="1">
        <v>681895.54599999997</v>
      </c>
      <c r="BJ59" s="1">
        <f t="shared" ref="BJ59:BJ84" si="149">BI59/C59</f>
        <v>0.89439715480425175</v>
      </c>
      <c r="BK59" s="1">
        <v>101.2013381</v>
      </c>
      <c r="BL59" s="1">
        <v>29808.271000000001</v>
      </c>
      <c r="BM59">
        <f t="shared" ref="BM59:BM84" si="150">BL59/BG59</f>
        <v>2.0091851577244539</v>
      </c>
      <c r="BN59">
        <f t="shared" ref="BN59:BN84" si="151">BL59/BI59</f>
        <v>4.3713837368282209E-2</v>
      </c>
      <c r="BO59">
        <f t="shared" si="54"/>
        <v>8.8377996931272955E-3</v>
      </c>
      <c r="BP59">
        <v>272777</v>
      </c>
      <c r="BQ59">
        <f t="shared" si="55"/>
        <v>357337.87</v>
      </c>
      <c r="BR59">
        <f t="shared" ref="BR59:BR84" si="152">BQ59/D59</f>
        <v>0.46215529074221157</v>
      </c>
      <c r="BS59">
        <f t="shared" si="56"/>
        <v>59.525235619600004</v>
      </c>
      <c r="BT59">
        <f t="shared" si="57"/>
        <v>7.7640228708315551E-3</v>
      </c>
      <c r="BU59">
        <v>365.05</v>
      </c>
      <c r="BV59">
        <f t="shared" ref="BV59" si="153">BU59*1000</f>
        <v>365050</v>
      </c>
      <c r="BW59">
        <f t="shared" si="58"/>
        <v>467264</v>
      </c>
      <c r="BX59">
        <f t="shared" ref="BX59:BX84" si="154">BW59/E59</f>
        <v>0.59875511361270128</v>
      </c>
      <c r="BY59">
        <f t="shared" si="59"/>
        <v>76.247206297600002</v>
      </c>
      <c r="BZ59">
        <f t="shared" si="60"/>
        <v>7.8528137972125028E-3</v>
      </c>
      <c r="CA59" s="1">
        <v>10989</v>
      </c>
      <c r="CB59" s="1">
        <f t="shared" si="61"/>
        <v>1.376417406814074E-2</v>
      </c>
      <c r="CC59" s="1">
        <f t="shared" si="62"/>
        <v>-0.29267212031928785</v>
      </c>
      <c r="CD59" s="1">
        <v>444448</v>
      </c>
      <c r="CE59" s="1">
        <f t="shared" si="63"/>
        <v>542226.55999999994</v>
      </c>
      <c r="CF59">
        <f t="shared" ref="CF59:CF84" si="155">CE59/F59</f>
        <v>0.67916104797608134</v>
      </c>
      <c r="CG59">
        <f t="shared" si="64"/>
        <v>-0.24064936440375539</v>
      </c>
      <c r="CH59">
        <f t="shared" si="65"/>
        <v>90.917938902799989</v>
      </c>
      <c r="CI59" s="1">
        <v>20570</v>
      </c>
      <c r="CJ59" s="1">
        <f t="shared" si="66"/>
        <v>25095.399999999998</v>
      </c>
      <c r="CK59">
        <f t="shared" si="67"/>
        <v>2.2836836836836834</v>
      </c>
      <c r="CL59">
        <f t="shared" si="68"/>
        <v>4.6282129742962058E-2</v>
      </c>
      <c r="CM59">
        <f t="shared" si="69"/>
        <v>7.4700444837643067E-3</v>
      </c>
      <c r="CN59" s="1">
        <v>92607</v>
      </c>
      <c r="CO59" s="1">
        <f t="shared" si="70"/>
        <v>0.12146645890389397</v>
      </c>
      <c r="CP59" s="1">
        <v>945571524</v>
      </c>
      <c r="CQ59" s="1">
        <f t="shared" ref="CQ59:CQ84" si="156">CP59/C59</f>
        <v>1240.2434444549376</v>
      </c>
      <c r="CR59" s="1">
        <v>108123.0123</v>
      </c>
      <c r="CS59" s="1">
        <v>138598934</v>
      </c>
      <c r="CT59">
        <f t="shared" si="71"/>
        <v>1496.6356106989751</v>
      </c>
      <c r="CU59">
        <f t="shared" si="72"/>
        <v>0.14657689078208747</v>
      </c>
      <c r="CV59">
        <f t="shared" si="73"/>
        <v>1.1470670471275222E-2</v>
      </c>
      <c r="CW59" s="1">
        <v>70489</v>
      </c>
      <c r="CX59" s="1">
        <f t="shared" si="74"/>
        <v>8.8290369086283793E-2</v>
      </c>
      <c r="CY59" s="1">
        <f t="shared" si="75"/>
        <v>-0.27312963691367331</v>
      </c>
      <c r="CZ59" s="1">
        <v>706799225</v>
      </c>
      <c r="DA59" s="1">
        <f t="shared" si="143"/>
        <v>862295054.5</v>
      </c>
      <c r="DB59" s="1">
        <f t="shared" ref="DB59:DB84" si="157">DA59/F59</f>
        <v>1080.0599898293663</v>
      </c>
      <c r="DC59" s="1">
        <f t="shared" si="76"/>
        <v>-0.12915484886595696</v>
      </c>
      <c r="DD59" s="1">
        <f t="shared" si="77"/>
        <v>93954.54819500001</v>
      </c>
      <c r="DE59" s="1">
        <v>98032996</v>
      </c>
      <c r="DF59" s="1">
        <f t="shared" si="78"/>
        <v>119600255.12</v>
      </c>
      <c r="DG59">
        <f t="shared" si="79"/>
        <v>1696.7222562385621</v>
      </c>
      <c r="DH59">
        <f t="shared" si="80"/>
        <v>0.13869992005155354</v>
      </c>
      <c r="DI59">
        <f t="shared" si="81"/>
        <v>1.14955583372902E-2</v>
      </c>
      <c r="DJ59" s="1">
        <v>6537804</v>
      </c>
      <c r="DK59">
        <f t="shared" ref="DK59:DK84" si="158">DJ59/C59</f>
        <v>8.5752038278716913</v>
      </c>
      <c r="DL59">
        <v>1889.3069949999999</v>
      </c>
      <c r="DM59" s="1">
        <v>1556184</v>
      </c>
      <c r="DN59" s="3">
        <f t="shared" si="82"/>
        <v>4.5388091244915399E-3</v>
      </c>
      <c r="DO59" s="1">
        <v>6228006</v>
      </c>
      <c r="DP59" s="1">
        <f t="shared" si="83"/>
        <v>7598167.3200000003</v>
      </c>
      <c r="DQ59" s="3">
        <f t="shared" ref="DQ59:DQ84" si="159">DP59/F59</f>
        <v>9.517016797828596</v>
      </c>
      <c r="DR59" s="3">
        <f t="shared" si="84"/>
        <v>1905.8896083399998</v>
      </c>
      <c r="DS59" s="3">
        <f t="shared" si="85"/>
        <v>1342915.7589448045</v>
      </c>
      <c r="DT59" s="3">
        <f t="shared" si="86"/>
        <v>4.9934774586014819E-3</v>
      </c>
      <c r="DU59" s="3">
        <f t="shared" si="87"/>
        <v>0.86295435433393775</v>
      </c>
      <c r="DV59" s="3">
        <f t="shared" si="88"/>
        <v>533.38091357161306</v>
      </c>
      <c r="DW59" s="3">
        <f t="shared" si="89"/>
        <v>9.9431127308853062E-2</v>
      </c>
      <c r="DX59" s="3">
        <f t="shared" si="90"/>
        <v>953182339.546</v>
      </c>
      <c r="DY59" s="3">
        <f t="shared" si="91"/>
        <v>1250.2260463505104</v>
      </c>
      <c r="DZ59" s="3">
        <f t="shared" si="92"/>
        <v>952109328</v>
      </c>
      <c r="EA59" s="3">
        <f t="shared" si="93"/>
        <v>602903.92000000004</v>
      </c>
      <c r="EB59" s="3">
        <f t="shared" si="94"/>
        <v>0.77975288887578331</v>
      </c>
      <c r="EC59" s="3">
        <f t="shared" si="95"/>
        <v>780736</v>
      </c>
      <c r="ED59" s="3">
        <f t="shared" si="96"/>
        <v>1.000440163123044</v>
      </c>
      <c r="EE59" s="9">
        <f t="shared" si="97"/>
        <v>870806388.16000009</v>
      </c>
      <c r="EF59" s="13">
        <f t="shared" si="98"/>
        <v>1090.7207849925537</v>
      </c>
      <c r="EG59" s="14">
        <f t="shared" si="99"/>
        <v>-0.12758113768591103</v>
      </c>
      <c r="EH59" s="9">
        <f t="shared" si="100"/>
        <v>869893221.82000005</v>
      </c>
      <c r="EI59" s="10">
        <v>794964</v>
      </c>
      <c r="EJ59" s="10">
        <f t="shared" ref="EJ59:EJ84" si="160">EI59*H59</f>
        <v>1041402.8400000001</v>
      </c>
      <c r="EK59" s="10">
        <f t="shared" si="101"/>
        <v>1.3468760876085282</v>
      </c>
      <c r="EL59" s="10">
        <v>2517000</v>
      </c>
      <c r="EM59" s="10">
        <f t="shared" ref="EM59:EM84" si="161">EL59*I59</f>
        <v>3221760</v>
      </c>
      <c r="EN59" s="10">
        <f t="shared" si="102"/>
        <v>4.1283841144039695</v>
      </c>
      <c r="EO59" s="11">
        <v>4790644</v>
      </c>
      <c r="EP59" s="11">
        <f t="shared" ref="EP59:EP84" si="162">EO59*J59</f>
        <v>5844585.6799999997</v>
      </c>
      <c r="EQ59" s="11">
        <f t="shared" si="103"/>
        <v>7.3205837342508611</v>
      </c>
      <c r="ER59" s="10">
        <f t="shared" si="104"/>
        <v>12.79584393626336</v>
      </c>
      <c r="ES59" s="10">
        <f t="shared" si="115"/>
        <v>1.8140971642828763</v>
      </c>
      <c r="ET59" s="12">
        <v>153882</v>
      </c>
      <c r="EU59" s="12">
        <f t="shared" ref="EU59:EU84" si="163">ET59*H59</f>
        <v>201585.42</v>
      </c>
      <c r="EV59" s="12">
        <f t="shared" si="105"/>
        <v>0.26071619106447025</v>
      </c>
      <c r="EW59" s="10">
        <v>23000</v>
      </c>
      <c r="EX59" s="10">
        <f t="shared" ref="EX59:EX84" si="164">EW59*I59</f>
        <v>29440</v>
      </c>
      <c r="EY59" s="10">
        <f t="shared" si="106"/>
        <v>3.7724606528125273E-2</v>
      </c>
      <c r="EZ59" s="3">
        <f t="shared" si="107"/>
        <v>41724.234778506157</v>
      </c>
      <c r="FA59" s="3">
        <f t="shared" si="108"/>
        <v>5.2261318623289699E-2</v>
      </c>
      <c r="FB59" s="3">
        <f t="shared" si="109"/>
        <v>0.35070211621588521</v>
      </c>
      <c r="FC59" s="1">
        <f t="shared" si="110"/>
        <v>0.43830000000000002</v>
      </c>
      <c r="FD59">
        <f>4.46/10</f>
        <v>0.44600000000000001</v>
      </c>
      <c r="FE59">
        <f>5.2</f>
        <v>5.2</v>
      </c>
      <c r="FF59" s="7">
        <f t="shared" si="111"/>
        <v>17.085000000000001</v>
      </c>
      <c r="FG59" s="1">
        <f t="shared" si="112"/>
        <v>2.3770000000000002</v>
      </c>
      <c r="FH59">
        <v>2.63E-2</v>
      </c>
      <c r="FI59">
        <v>3.4000000000000002E-2</v>
      </c>
      <c r="FJ59">
        <v>4.41E-2</v>
      </c>
      <c r="FK59">
        <v>4.0899999999999999E-2</v>
      </c>
      <c r="FL59" s="1">
        <f t="shared" si="113"/>
        <v>2.5666666666666672E-3</v>
      </c>
    </row>
    <row r="60" spans="1:310">
      <c r="A60" t="s">
        <v>112</v>
      </c>
      <c r="B60" s="1" t="s">
        <v>18</v>
      </c>
      <c r="C60" s="1">
        <v>423881</v>
      </c>
      <c r="D60" s="6">
        <f t="shared" si="141"/>
        <v>428185.7</v>
      </c>
      <c r="E60" s="6">
        <f t="shared" si="142"/>
        <v>431055.5</v>
      </c>
      <c r="F60" s="1">
        <v>438230</v>
      </c>
      <c r="G60" s="1">
        <f t="shared" si="144"/>
        <v>1434.9</v>
      </c>
      <c r="H60" s="1">
        <v>1.31</v>
      </c>
      <c r="I60" s="1">
        <v>1.28</v>
      </c>
      <c r="J60" s="1">
        <v>1.22</v>
      </c>
      <c r="K60">
        <v>182038</v>
      </c>
      <c r="L60">
        <f t="shared" si="24"/>
        <v>0.42945543678532416</v>
      </c>
      <c r="M60" s="1">
        <v>166642</v>
      </c>
      <c r="N60">
        <f t="shared" si="25"/>
        <v>0.38026150651484381</v>
      </c>
      <c r="O60">
        <f t="shared" si="26"/>
        <v>-0.11454955754832225</v>
      </c>
      <c r="P60">
        <f t="shared" si="27"/>
        <v>0.21153267806582582</v>
      </c>
      <c r="Q60">
        <f t="shared" si="28"/>
        <v>0.20115218914980776</v>
      </c>
      <c r="R60">
        <f t="shared" si="29"/>
        <v>996.78956476469068</v>
      </c>
      <c r="S60">
        <f t="shared" si="30"/>
        <v>1112.3483650981198</v>
      </c>
      <c r="T60">
        <f t="shared" si="31"/>
        <v>993.36968857533134</v>
      </c>
      <c r="U60">
        <v>92297.113769999996</v>
      </c>
      <c r="V60">
        <f t="shared" si="32"/>
        <v>1.0762738378263498E-2</v>
      </c>
      <c r="W60">
        <f t="shared" si="33"/>
        <v>963.90555256372215</v>
      </c>
      <c r="X60">
        <v>79429.064259999999</v>
      </c>
      <c r="Y60">
        <f t="shared" si="34"/>
        <v>1.2135426264226295E-2</v>
      </c>
      <c r="Z60" s="1">
        <v>19598</v>
      </c>
      <c r="AA60" s="1">
        <f t="shared" si="35"/>
        <v>4.6234674354358886E-2</v>
      </c>
      <c r="AB60" s="1">
        <v>229492</v>
      </c>
      <c r="AC60" s="1">
        <f t="shared" si="145"/>
        <v>0.54140666838098428</v>
      </c>
      <c r="AD60" s="1">
        <v>61.278341249999997</v>
      </c>
      <c r="AE60" s="1">
        <v>27120</v>
      </c>
      <c r="AF60">
        <f t="shared" ref="AF60:AF107" si="165">AE60/Z60</f>
        <v>1.3838146749668334</v>
      </c>
      <c r="AG60">
        <f t="shared" ref="AG60:AG107" si="166">AE60/AB60</f>
        <v>0.11817405399752497</v>
      </c>
      <c r="AH60">
        <f t="shared" si="116"/>
        <v>8.8352043697165882E-3</v>
      </c>
      <c r="AI60">
        <v>118249</v>
      </c>
      <c r="AJ60">
        <f t="shared" ref="AJ60:AJ107" si="167">AI60*H60</f>
        <v>154906.19</v>
      </c>
      <c r="AK60">
        <f t="shared" si="146"/>
        <v>0.36177338477207438</v>
      </c>
      <c r="AL60">
        <f t="shared" ref="AL60:AL107" si="168">30.9675585*H60</f>
        <v>40.567501634999999</v>
      </c>
      <c r="AM60">
        <f t="shared" ref="AM60:AM107" si="169">AK60/AL60</f>
        <v>8.9178127858864972E-3</v>
      </c>
      <c r="AN60">
        <v>149.02000000000001</v>
      </c>
      <c r="AO60">
        <f t="shared" ref="AO60:AO107" si="170">AN60*1000</f>
        <v>149020</v>
      </c>
      <c r="AP60">
        <f t="shared" ref="AP60:AP107" si="171">AO60*I60</f>
        <v>190745.60000000001</v>
      </c>
      <c r="AQ60">
        <f t="shared" si="147"/>
        <v>0.44250821529942203</v>
      </c>
      <c r="AR60">
        <f t="shared" ref="AR60:AR107" si="172">40.43719276*I60</f>
        <v>51.759606732800002</v>
      </c>
      <c r="AS60">
        <f t="shared" ref="AS60:AS107" si="173">AQ60/AR60</f>
        <v>8.5492963187257971E-3</v>
      </c>
      <c r="AT60" s="1">
        <v>20982</v>
      </c>
      <c r="AU60" s="1">
        <f t="shared" si="44"/>
        <v>4.7878967665381189E-2</v>
      </c>
      <c r="AV60" s="1">
        <f t="shared" si="45"/>
        <v>3.5564072505839622E-2</v>
      </c>
      <c r="AW60" s="1">
        <v>190675</v>
      </c>
      <c r="AX60" s="1">
        <f t="shared" ref="AX60:AX107" si="174">AW60*J60</f>
        <v>232623.5</v>
      </c>
      <c r="AY60" s="1">
        <f t="shared" si="148"/>
        <v>0.53082513748488236</v>
      </c>
      <c r="AZ60" s="1">
        <f t="shared" si="47"/>
        <v>-1.9544515267506397E-2</v>
      </c>
      <c r="BA60" s="1">
        <f t="shared" ref="BA60:BA107" si="175">49.57856717*J60</f>
        <v>60.4858519474</v>
      </c>
      <c r="BB60" s="1">
        <v>22722</v>
      </c>
      <c r="BC60" s="1">
        <f t="shared" ref="BC60:BC107" si="176">BB60*J60</f>
        <v>27720.84</v>
      </c>
      <c r="BD60" s="1">
        <f t="shared" ref="BD60:BD107" si="177">BC60/AT60</f>
        <v>1.321172433514441</v>
      </c>
      <c r="BE60" s="1">
        <f t="shared" ref="BE60:BE107" si="178">BC60/AX60</f>
        <v>0.1191661203618723</v>
      </c>
      <c r="BF60" s="1">
        <f t="shared" ref="BF60:BF107" si="179">AY60/BA60</f>
        <v>8.7760215057647046E-3</v>
      </c>
      <c r="BG60" s="1">
        <v>6377</v>
      </c>
      <c r="BH60" s="1">
        <f t="shared" si="53"/>
        <v>1.5044316683220055E-2</v>
      </c>
      <c r="BI60" s="1">
        <v>230123.96299999999</v>
      </c>
      <c r="BJ60" s="1">
        <f t="shared" si="149"/>
        <v>0.54289756559034252</v>
      </c>
      <c r="BK60" s="1">
        <v>101.2013381</v>
      </c>
      <c r="BL60" s="1">
        <v>11402.337</v>
      </c>
      <c r="BM60">
        <f t="shared" si="150"/>
        <v>1.7880409283362082</v>
      </c>
      <c r="BN60">
        <f t="shared" si="151"/>
        <v>4.9548673034107274E-2</v>
      </c>
      <c r="BO60">
        <f t="shared" ref="BO60:BO107" si="180">BJ60/BK60</f>
        <v>5.3645295189070482E-3</v>
      </c>
      <c r="BP60">
        <v>122595</v>
      </c>
      <c r="BQ60">
        <f t="shared" ref="BQ60:BQ107" si="181">BP60*H60</f>
        <v>160599.45000000001</v>
      </c>
      <c r="BR60">
        <f t="shared" si="152"/>
        <v>0.37506962516496933</v>
      </c>
      <c r="BS60">
        <f t="shared" ref="BS60:BS107" si="182">45.43911116*H60</f>
        <v>59.525235619600004</v>
      </c>
      <c r="BT60">
        <f t="shared" ref="BT60:BT107" si="183">BR60/BS60</f>
        <v>6.3010187403856211E-3</v>
      </c>
      <c r="BU60">
        <v>136.09</v>
      </c>
      <c r="BV60">
        <f t="shared" ref="BV60:BV107" si="184">BU60*1000</f>
        <v>136090</v>
      </c>
      <c r="BW60">
        <f t="shared" ref="BW60:BW107" si="185">BV60*I60</f>
        <v>174195.20000000001</v>
      </c>
      <c r="BX60">
        <f t="shared" si="154"/>
        <v>0.4041131594423456</v>
      </c>
      <c r="BY60">
        <f t="shared" ref="BY60:BY107" si="186">59.56812992*I60</f>
        <v>76.247206297600002</v>
      </c>
      <c r="BZ60">
        <f t="shared" ref="BZ60:BZ107" si="187">BX60/BY60</f>
        <v>5.3000389006392446E-3</v>
      </c>
      <c r="CA60" s="1">
        <v>5551</v>
      </c>
      <c r="CB60" s="1">
        <f t="shared" si="61"/>
        <v>1.2666864431919311E-2</v>
      </c>
      <c r="CC60" s="1">
        <f t="shared" si="62"/>
        <v>-0.15802992594223159</v>
      </c>
      <c r="CD60" s="1">
        <v>148874</v>
      </c>
      <c r="CE60" s="1">
        <f t="shared" ref="CE60:CE107" si="188">CD60*J60</f>
        <v>181626.28</v>
      </c>
      <c r="CF60">
        <f t="shared" si="155"/>
        <v>0.41445423635990231</v>
      </c>
      <c r="CG60">
        <f t="shared" si="64"/>
        <v>-0.23658851571893116</v>
      </c>
      <c r="CH60">
        <f t="shared" ref="CH60:CH107" si="189">74.52290074*J60</f>
        <v>90.917938902799989</v>
      </c>
      <c r="CI60" s="1">
        <v>9381</v>
      </c>
      <c r="CJ60" s="1">
        <f t="shared" ref="CJ60:CJ106" si="190">CI60*J60</f>
        <v>11444.82</v>
      </c>
      <c r="CK60">
        <f t="shared" ref="CK60:CK106" si="191">CJ60/CA60</f>
        <v>2.0617582417582416</v>
      </c>
      <c r="CL60">
        <f t="shared" ref="CL60:CL106" si="192">CJ60/CE60</f>
        <v>6.3013017719682415E-2</v>
      </c>
      <c r="CM60">
        <f t="shared" ref="CM60:CM106" si="193">CF60/CH60</f>
        <v>4.5585529254352514E-3</v>
      </c>
      <c r="CN60" s="1">
        <v>63248</v>
      </c>
      <c r="CO60" s="1">
        <f t="shared" si="70"/>
        <v>0.14921168912973218</v>
      </c>
      <c r="CP60" s="1">
        <v>420610921</v>
      </c>
      <c r="CQ60" s="1">
        <f t="shared" si="156"/>
        <v>992.28538434135999</v>
      </c>
      <c r="CR60" s="1">
        <v>108123.0123</v>
      </c>
      <c r="CS60" s="1">
        <v>88898033</v>
      </c>
      <c r="CT60">
        <f t="shared" ref="CT60:CT107" si="194">CS60/CN60</f>
        <v>1405.5469421958007</v>
      </c>
      <c r="CU60">
        <f t="shared" ref="CU60:CU107" si="195">CS60/CP60</f>
        <v>0.21135455253668983</v>
      </c>
      <c r="CV60">
        <f t="shared" ref="CV60:CV107" si="196">CQ60/CR60</f>
        <v>9.1773745776537151E-3</v>
      </c>
      <c r="CW60" s="1">
        <v>51331</v>
      </c>
      <c r="CX60" s="1">
        <f t="shared" si="74"/>
        <v>0.11713255596376332</v>
      </c>
      <c r="CY60" s="1">
        <f t="shared" si="75"/>
        <v>-0.21499075141544469</v>
      </c>
      <c r="CZ60" s="1">
        <v>345900066</v>
      </c>
      <c r="DA60" s="1">
        <f t="shared" si="143"/>
        <v>421998080.51999998</v>
      </c>
      <c r="DB60" s="1">
        <f t="shared" si="157"/>
        <v>962.9602731898774</v>
      </c>
      <c r="DC60" s="1">
        <f t="shared" si="76"/>
        <v>-2.9553101974738288E-2</v>
      </c>
      <c r="DD60" s="1">
        <f t="shared" ref="DD60:DD107" si="197">77011.92475*J60</f>
        <v>93954.54819500001</v>
      </c>
      <c r="DE60" s="1">
        <v>70961252</v>
      </c>
      <c r="DF60" s="1">
        <f t="shared" ref="DF60:DF78" si="198">DE60*J60</f>
        <v>86572727.439999998</v>
      </c>
      <c r="DG60">
        <f t="shared" ref="DG60:DG78" si="199">DF60/CW60</f>
        <v>1686.5583651204925</v>
      </c>
      <c r="DH60">
        <f t="shared" ref="DH60:DH78" si="200">DF60/DA60</f>
        <v>0.20514957635191663</v>
      </c>
      <c r="DI60">
        <f t="shared" ref="DI60:DI107" si="201">DB60/DD60</f>
        <v>1.0249214026246825E-2</v>
      </c>
      <c r="DJ60" s="1">
        <v>8146798</v>
      </c>
      <c r="DK60">
        <f t="shared" si="158"/>
        <v>19.219540389873572</v>
      </c>
      <c r="DL60">
        <v>1889.3069949999999</v>
      </c>
      <c r="DM60" s="1">
        <v>1856937</v>
      </c>
      <c r="DN60" s="3">
        <f t="shared" ref="DN60:DN107" si="202">DK60/DL60</f>
        <v>1.0172799042578876E-2</v>
      </c>
      <c r="DO60" s="1">
        <v>6693929</v>
      </c>
      <c r="DP60" s="1">
        <f t="shared" ref="DP60:DP99" si="203">DO60*J60</f>
        <v>8166593.3799999999</v>
      </c>
      <c r="DQ60" s="3">
        <f t="shared" si="159"/>
        <v>18.635404650525981</v>
      </c>
      <c r="DR60" s="3">
        <f t="shared" ref="DR60:DR107" si="204">1562.204597*J60</f>
        <v>1905.8896083399998</v>
      </c>
      <c r="DS60" s="3">
        <f t="shared" ref="DS60:DS107" si="205">DM60*DU60</f>
        <v>1808399.5757200629</v>
      </c>
      <c r="DT60" s="3">
        <f t="shared" ref="DT60:DT107" si="206">DQ60/DR60</f>
        <v>9.777798550859999E-3</v>
      </c>
      <c r="DU60" s="3">
        <f t="shared" ref="DU60:DU107" si="207">(BC60+CJ60+DF60)/(AE60+BL60+CS60)</f>
        <v>0.97386156650444411</v>
      </c>
      <c r="DV60" s="3">
        <f t="shared" ref="DV60:DV107" si="208">SUM(DG60,CT60,CK60,BM60,BD60,AF60)/6</f>
        <v>516.44334893247799</v>
      </c>
      <c r="DW60" s="3">
        <f t="shared" ref="DW60:DW107" si="209">SUM(DH60,CU60,CL60,BN60,BE60,AG60)/6</f>
        <v>0.12773433233363224</v>
      </c>
      <c r="DX60" s="3">
        <f t="shared" ref="DX60:DX107" si="210">SUM(AB60,BI60,CP60,DJ60)</f>
        <v>429217334.963</v>
      </c>
      <c r="DY60" s="3">
        <f t="shared" si="91"/>
        <v>1012.5892289652048</v>
      </c>
      <c r="DZ60" s="3">
        <f t="shared" ref="DZ60:DZ107" si="211">CP60+DJ60</f>
        <v>428757719</v>
      </c>
      <c r="EA60" s="3">
        <f t="shared" ref="EA60:EA107" si="212">SUM(AJ60,BQ60)</f>
        <v>315505.64</v>
      </c>
      <c r="EB60" s="3">
        <f t="shared" si="94"/>
        <v>0.73684300993704366</v>
      </c>
      <c r="EC60" s="3">
        <f t="shared" ref="EC60:EC107" si="213">SUM(AP60,BW60)</f>
        <v>364940.80000000005</v>
      </c>
      <c r="ED60" s="3">
        <f t="shared" si="96"/>
        <v>0.84662137474176768</v>
      </c>
      <c r="EE60" s="9">
        <f t="shared" ref="EE60:EE107" si="214">SUM(AX60,CE60,DA60,DP60)</f>
        <v>430578923.67999995</v>
      </c>
      <c r="EF60" s="13">
        <f t="shared" si="98"/>
        <v>982.54095721424812</v>
      </c>
      <c r="EG60" s="14">
        <f t="shared" si="99"/>
        <v>-2.9674690280543401E-2</v>
      </c>
      <c r="EH60" s="9">
        <f t="shared" ref="EH60:EH107" si="215">DA60+DP60</f>
        <v>430164673.89999998</v>
      </c>
      <c r="EI60" s="10">
        <v>674489</v>
      </c>
      <c r="EJ60" s="10">
        <f t="shared" si="160"/>
        <v>883580.59000000008</v>
      </c>
      <c r="EK60" s="10">
        <f t="shared" si="101"/>
        <v>2.0635453028907786</v>
      </c>
      <c r="EL60" s="10">
        <v>764000</v>
      </c>
      <c r="EM60" s="10">
        <f t="shared" si="161"/>
        <v>977920</v>
      </c>
      <c r="EN60" s="10">
        <f t="shared" si="102"/>
        <v>2.2686637799540894</v>
      </c>
      <c r="EO60" s="11">
        <v>1530964</v>
      </c>
      <c r="EP60" s="11">
        <f t="shared" si="162"/>
        <v>1867776.08</v>
      </c>
      <c r="EQ60" s="11">
        <f t="shared" si="103"/>
        <v>4.2620908655272345</v>
      </c>
      <c r="ER60" s="10">
        <f t="shared" si="104"/>
        <v>8.5942999483721021</v>
      </c>
      <c r="ES60" s="10">
        <f t="shared" ref="ES60:ES107" si="216">EP60/EM60</f>
        <v>1.9099477257853403</v>
      </c>
      <c r="ET60" s="12">
        <v>186862</v>
      </c>
      <c r="EU60" s="12">
        <f t="shared" si="163"/>
        <v>244789.22</v>
      </c>
      <c r="EV60" s="12">
        <f t="shared" si="105"/>
        <v>0.571689386170533</v>
      </c>
      <c r="EW60" s="10">
        <v>14000</v>
      </c>
      <c r="EX60" s="10">
        <f t="shared" si="164"/>
        <v>17920</v>
      </c>
      <c r="EY60" s="10">
        <f t="shared" si="106"/>
        <v>4.1572372931095877E-2</v>
      </c>
      <c r="EZ60" s="3">
        <f t="shared" ref="EZ60:EZ107" si="217">EW60*ES60</f>
        <v>26739.268160994765</v>
      </c>
      <c r="FA60" s="3">
        <f t="shared" si="108"/>
        <v>6.1016516808513256E-2</v>
      </c>
      <c r="FB60" s="3">
        <f t="shared" si="109"/>
        <v>0.67427827591014211</v>
      </c>
      <c r="FC60" s="1">
        <f t="shared" ref="FC60:FC107" si="218">FD60-FL60*3</f>
        <v>0.43929999999999997</v>
      </c>
      <c r="FD60">
        <f>4.47/10</f>
        <v>0.44699999999999995</v>
      </c>
      <c r="FE60">
        <f>5.8</f>
        <v>5.8</v>
      </c>
      <c r="FF60" s="7">
        <f t="shared" ref="FF60:FF107" si="219">FE60+FG60*5</f>
        <v>19.182500000000001</v>
      </c>
      <c r="FG60" s="1">
        <f t="shared" ref="FG60:FG107" si="220">(FE60-FD60)/2</f>
        <v>2.6764999999999999</v>
      </c>
      <c r="FH60">
        <v>2.63E-2</v>
      </c>
      <c r="FI60">
        <v>3.4000000000000002E-2</v>
      </c>
      <c r="FJ60">
        <v>4.41E-2</v>
      </c>
      <c r="FK60">
        <v>4.0899999999999999E-2</v>
      </c>
      <c r="FL60" s="1">
        <f t="shared" ref="FL60:FL107" si="221">(FI60-FH60)/3</f>
        <v>2.5666666666666672E-3</v>
      </c>
    </row>
    <row r="61" spans="1:310">
      <c r="A61" t="s">
        <v>112</v>
      </c>
      <c r="B61" s="1" t="s">
        <v>19</v>
      </c>
      <c r="C61" s="1">
        <v>149329</v>
      </c>
      <c r="D61" s="6">
        <f t="shared" si="141"/>
        <v>152563.29999999999</v>
      </c>
      <c r="E61" s="6">
        <f t="shared" si="142"/>
        <v>154719.5</v>
      </c>
      <c r="F61" s="1">
        <v>160110</v>
      </c>
      <c r="G61" s="1">
        <f t="shared" si="144"/>
        <v>1078.0999999999999</v>
      </c>
      <c r="H61" s="1">
        <v>1.31</v>
      </c>
      <c r="I61" s="1">
        <v>1.28</v>
      </c>
      <c r="J61" s="1">
        <v>1.22</v>
      </c>
      <c r="K61">
        <v>60733</v>
      </c>
      <c r="L61">
        <f t="shared" si="24"/>
        <v>0.40670599816512532</v>
      </c>
      <c r="M61" s="1">
        <v>59808</v>
      </c>
      <c r="N61">
        <f t="shared" si="25"/>
        <v>0.37354318905752293</v>
      </c>
      <c r="O61">
        <f t="shared" si="26"/>
        <v>-8.1540004959892595E-2</v>
      </c>
      <c r="P61">
        <f t="shared" si="27"/>
        <v>0.15677690915048142</v>
      </c>
      <c r="Q61">
        <f t="shared" si="28"/>
        <v>0.14307823484323084</v>
      </c>
      <c r="R61">
        <f t="shared" si="29"/>
        <v>1166.8139688580093</v>
      </c>
      <c r="S61">
        <f t="shared" si="30"/>
        <v>1283.2952512471982</v>
      </c>
      <c r="T61">
        <f t="shared" si="31"/>
        <v>1421.5040917169472</v>
      </c>
      <c r="U61">
        <v>92297.113769999996</v>
      </c>
      <c r="V61">
        <f t="shared" si="32"/>
        <v>1.5401392672573355E-2</v>
      </c>
      <c r="W61">
        <f t="shared" si="33"/>
        <v>1512.4992251577039</v>
      </c>
      <c r="X61">
        <v>79429.064259999999</v>
      </c>
      <c r="Y61">
        <f t="shared" si="34"/>
        <v>1.9042138280853316E-2</v>
      </c>
      <c r="Z61" s="1">
        <v>5014</v>
      </c>
      <c r="AA61" s="1">
        <f t="shared" si="35"/>
        <v>3.3576867185878163E-2</v>
      </c>
      <c r="AB61" s="1">
        <v>65501</v>
      </c>
      <c r="AC61" s="1">
        <f t="shared" si="145"/>
        <v>0.43863549611930702</v>
      </c>
      <c r="AD61" s="1">
        <v>61.278341249999997</v>
      </c>
      <c r="AE61" s="1">
        <v>6910</v>
      </c>
      <c r="AF61">
        <f t="shared" si="165"/>
        <v>1.3781412046270443</v>
      </c>
      <c r="AG61">
        <f t="shared" si="166"/>
        <v>0.105494572601945</v>
      </c>
      <c r="AH61">
        <f t="shared" ref="AH61:AH107" si="222">AC61/AD61</f>
        <v>7.1580837074193332E-3</v>
      </c>
      <c r="AI61">
        <v>33245</v>
      </c>
      <c r="AJ61">
        <f t="shared" si="167"/>
        <v>43550.950000000004</v>
      </c>
      <c r="AK61">
        <f t="shared" si="146"/>
        <v>0.28546151007483456</v>
      </c>
      <c r="AL61">
        <f t="shared" si="168"/>
        <v>40.567501634999999</v>
      </c>
      <c r="AM61">
        <f t="shared" si="169"/>
        <v>7.0367042230806229E-3</v>
      </c>
      <c r="AN61">
        <v>44.25</v>
      </c>
      <c r="AO61">
        <f t="shared" si="170"/>
        <v>44250</v>
      </c>
      <c r="AP61">
        <f t="shared" si="171"/>
        <v>56640</v>
      </c>
      <c r="AQ61">
        <f t="shared" si="147"/>
        <v>0.36608184488703749</v>
      </c>
      <c r="AR61">
        <f t="shared" si="172"/>
        <v>51.759606732800002</v>
      </c>
      <c r="AS61">
        <f t="shared" si="173"/>
        <v>7.0727323485449099E-3</v>
      </c>
      <c r="AT61" s="1">
        <v>6119</v>
      </c>
      <c r="AU61" s="1">
        <f t="shared" si="44"/>
        <v>3.8217475485603648E-2</v>
      </c>
      <c r="AV61" s="1">
        <f t="shared" si="45"/>
        <v>0.13820849557034443</v>
      </c>
      <c r="AW61" s="1">
        <v>61267</v>
      </c>
      <c r="AX61" s="1">
        <f t="shared" si="174"/>
        <v>74745.740000000005</v>
      </c>
      <c r="AY61" s="1">
        <f t="shared" si="148"/>
        <v>0.46683992255324469</v>
      </c>
      <c r="AZ61" s="1">
        <f t="shared" si="47"/>
        <v>6.4300373963046026E-2</v>
      </c>
      <c r="BA61" s="1">
        <f t="shared" si="175"/>
        <v>60.4858519474</v>
      </c>
      <c r="BB61" s="1">
        <v>6099</v>
      </c>
      <c r="BC61" s="1">
        <f t="shared" si="176"/>
        <v>7440.78</v>
      </c>
      <c r="BD61" s="1">
        <f t="shared" si="177"/>
        <v>1.2160124203301192</v>
      </c>
      <c r="BE61" s="1">
        <f t="shared" si="178"/>
        <v>9.9547880588244889E-2</v>
      </c>
      <c r="BF61" s="1">
        <f t="shared" si="179"/>
        <v>7.7181672659454364E-3</v>
      </c>
      <c r="BG61" s="1">
        <v>735</v>
      </c>
      <c r="BH61" s="1">
        <f t="shared" si="53"/>
        <v>4.9220178264101416E-3</v>
      </c>
      <c r="BI61" s="1">
        <v>25929.511999999999</v>
      </c>
      <c r="BJ61" s="1">
        <f t="shared" si="149"/>
        <v>0.1736401636654635</v>
      </c>
      <c r="BK61" s="1">
        <v>101.2013381</v>
      </c>
      <c r="BL61" s="1">
        <v>1536.2729999999999</v>
      </c>
      <c r="BM61">
        <f t="shared" si="150"/>
        <v>2.0901673469387756</v>
      </c>
      <c r="BN61">
        <f t="shared" si="151"/>
        <v>5.9248049095563388E-2</v>
      </c>
      <c r="BO61">
        <f t="shared" si="180"/>
        <v>1.7157892071929383E-3</v>
      </c>
      <c r="BP61">
        <v>13675</v>
      </c>
      <c r="BQ61">
        <f t="shared" si="181"/>
        <v>17914.25</v>
      </c>
      <c r="BR61">
        <f t="shared" si="152"/>
        <v>0.11742175215140209</v>
      </c>
      <c r="BS61">
        <f t="shared" si="182"/>
        <v>59.525235619600004</v>
      </c>
      <c r="BT61">
        <f t="shared" si="183"/>
        <v>1.9726381748708002E-3</v>
      </c>
      <c r="BU61">
        <v>19.55</v>
      </c>
      <c r="BV61">
        <f t="shared" si="184"/>
        <v>19550</v>
      </c>
      <c r="BW61">
        <f t="shared" si="185"/>
        <v>25024</v>
      </c>
      <c r="BX61">
        <f t="shared" si="154"/>
        <v>0.1617378546337081</v>
      </c>
      <c r="BY61">
        <f t="shared" si="186"/>
        <v>76.247206297600002</v>
      </c>
      <c r="BZ61">
        <f t="shared" si="187"/>
        <v>2.1212299110662503E-3</v>
      </c>
      <c r="CA61" s="1">
        <v>704</v>
      </c>
      <c r="CB61" s="1">
        <f t="shared" si="61"/>
        <v>4.3969770782586971E-3</v>
      </c>
      <c r="CC61" s="1">
        <f t="shared" si="62"/>
        <v>-0.10667185017783272</v>
      </c>
      <c r="CD61" s="1">
        <v>14022</v>
      </c>
      <c r="CE61" s="1">
        <f t="shared" si="188"/>
        <v>17106.84</v>
      </c>
      <c r="CF61">
        <f t="shared" si="155"/>
        <v>0.10684429454749859</v>
      </c>
      <c r="CG61">
        <f t="shared" si="64"/>
        <v>-0.38467983275260181</v>
      </c>
      <c r="CH61">
        <f t="shared" si="189"/>
        <v>90.917938902799989</v>
      </c>
      <c r="CI61" s="1">
        <v>1085</v>
      </c>
      <c r="CJ61" s="1">
        <f t="shared" si="190"/>
        <v>1323.7</v>
      </c>
      <c r="CK61">
        <f t="shared" si="191"/>
        <v>1.8802556818181819</v>
      </c>
      <c r="CL61">
        <f t="shared" si="192"/>
        <v>7.7378405363001002E-2</v>
      </c>
      <c r="CM61">
        <f t="shared" si="193"/>
        <v>1.1751728628794083E-3</v>
      </c>
      <c r="CN61" s="1">
        <v>22605</v>
      </c>
      <c r="CO61" s="1">
        <f t="shared" si="70"/>
        <v>0.15137716049796088</v>
      </c>
      <c r="CP61" s="1">
        <v>212180354</v>
      </c>
      <c r="CQ61" s="1">
        <f t="shared" si="156"/>
        <v>1420.8918160571625</v>
      </c>
      <c r="CR61" s="1">
        <v>108123.0123</v>
      </c>
      <c r="CS61" s="1">
        <v>33075397</v>
      </c>
      <c r="CT61">
        <f t="shared" si="194"/>
        <v>1463.1894271178942</v>
      </c>
      <c r="CU61">
        <f t="shared" si="195"/>
        <v>0.15588340945081089</v>
      </c>
      <c r="CV61">
        <f t="shared" si="196"/>
        <v>1.3141437570336379E-2</v>
      </c>
      <c r="CW61" s="1">
        <v>20839</v>
      </c>
      <c r="CX61" s="1">
        <f t="shared" si="74"/>
        <v>0.13015426894010368</v>
      </c>
      <c r="CY61" s="1">
        <f t="shared" si="75"/>
        <v>-0.14019876900877051</v>
      </c>
      <c r="CZ61" s="1">
        <v>198421638</v>
      </c>
      <c r="DA61" s="1">
        <f t="shared" si="143"/>
        <v>242074398.35999998</v>
      </c>
      <c r="DB61" s="1">
        <f t="shared" si="157"/>
        <v>1511.9255409406032</v>
      </c>
      <c r="DC61" s="1">
        <f t="shared" si="76"/>
        <v>6.4068019714583577E-2</v>
      </c>
      <c r="DD61" s="1">
        <f t="shared" si="197"/>
        <v>93954.54819500001</v>
      </c>
      <c r="DE61" s="1">
        <v>29089958</v>
      </c>
      <c r="DF61" s="1">
        <f t="shared" si="198"/>
        <v>35489748.759999998</v>
      </c>
      <c r="DG61">
        <f t="shared" si="199"/>
        <v>1703.0447123182494</v>
      </c>
      <c r="DH61">
        <f t="shared" si="200"/>
        <v>0.14660678287516204</v>
      </c>
      <c r="DI61">
        <f t="shared" si="201"/>
        <v>1.6092095273585315E-2</v>
      </c>
      <c r="DJ61" s="1">
        <v>6335646</v>
      </c>
      <c r="DK61">
        <f t="shared" si="158"/>
        <v>42.427432046019192</v>
      </c>
      <c r="DL61">
        <v>1889.3069949999999</v>
      </c>
      <c r="DM61" s="1">
        <v>1188754</v>
      </c>
      <c r="DN61" s="3">
        <f t="shared" si="202"/>
        <v>2.2456610893995654E-2</v>
      </c>
      <c r="DO61" s="1">
        <v>4868330</v>
      </c>
      <c r="DP61" s="1">
        <f t="shared" si="203"/>
        <v>5939362.5999999996</v>
      </c>
      <c r="DQ61" s="3">
        <f t="shared" si="159"/>
        <v>37.095513084754231</v>
      </c>
      <c r="DR61" s="3">
        <f t="shared" si="204"/>
        <v>1905.8896083399998</v>
      </c>
      <c r="DS61" s="3">
        <f t="shared" si="205"/>
        <v>1275516.8515304239</v>
      </c>
      <c r="DT61" s="3">
        <f t="shared" si="206"/>
        <v>1.9463621042072759E-2</v>
      </c>
      <c r="DU61" s="3">
        <f t="shared" si="207"/>
        <v>1.0729863803027573</v>
      </c>
      <c r="DV61" s="3">
        <f t="shared" si="208"/>
        <v>528.79978601497635</v>
      </c>
      <c r="DW61" s="3">
        <f t="shared" si="209"/>
        <v>0.10735984999578789</v>
      </c>
      <c r="DX61" s="3">
        <f t="shared" si="210"/>
        <v>218607430.51199999</v>
      </c>
      <c r="DY61" s="3">
        <f t="shared" si="91"/>
        <v>1463.9315237629662</v>
      </c>
      <c r="DZ61" s="3">
        <f t="shared" si="211"/>
        <v>218516000</v>
      </c>
      <c r="EA61" s="3">
        <f t="shared" si="212"/>
        <v>61465.200000000004</v>
      </c>
      <c r="EB61" s="3">
        <f t="shared" si="94"/>
        <v>0.40288326222623666</v>
      </c>
      <c r="EC61" s="3">
        <f t="shared" si="213"/>
        <v>81664</v>
      </c>
      <c r="ED61" s="3">
        <f t="shared" si="96"/>
        <v>0.52781969952074559</v>
      </c>
      <c r="EE61" s="9">
        <f t="shared" si="214"/>
        <v>248105613.53999999</v>
      </c>
      <c r="EF61" s="13">
        <f t="shared" si="98"/>
        <v>1549.5947382424583</v>
      </c>
      <c r="EG61" s="14">
        <f t="shared" si="99"/>
        <v>5.8515861629442147E-2</v>
      </c>
      <c r="EH61" s="9">
        <f t="shared" si="215"/>
        <v>248013760.95999998</v>
      </c>
      <c r="EI61" s="10">
        <v>100724</v>
      </c>
      <c r="EJ61" s="10">
        <f t="shared" si="160"/>
        <v>131948.44</v>
      </c>
      <c r="EK61" s="10">
        <f t="shared" si="101"/>
        <v>0.86487667741848806</v>
      </c>
      <c r="EL61" s="10">
        <v>253000</v>
      </c>
      <c r="EM61" s="10">
        <f t="shared" si="161"/>
        <v>323840</v>
      </c>
      <c r="EN61" s="10">
        <f t="shared" si="102"/>
        <v>2.0930781187891636</v>
      </c>
      <c r="EO61" s="11">
        <v>264911</v>
      </c>
      <c r="EP61" s="11">
        <f t="shared" si="162"/>
        <v>323191.42</v>
      </c>
      <c r="EQ61" s="11">
        <f t="shared" si="103"/>
        <v>2.0185586159515334</v>
      </c>
      <c r="ER61" s="10">
        <f t="shared" si="104"/>
        <v>4.9765134121591856</v>
      </c>
      <c r="ES61" s="10">
        <f t="shared" si="216"/>
        <v>0.99799722084980236</v>
      </c>
      <c r="ET61" s="12">
        <v>136874</v>
      </c>
      <c r="EU61" s="12">
        <f t="shared" si="163"/>
        <v>179304.94</v>
      </c>
      <c r="EV61" s="12">
        <f t="shared" si="105"/>
        <v>1.1752822598881907</v>
      </c>
      <c r="EW61" s="10">
        <v>10000</v>
      </c>
      <c r="EX61" s="10">
        <f t="shared" si="164"/>
        <v>12800</v>
      </c>
      <c r="EY61" s="10">
        <f t="shared" si="106"/>
        <v>8.2730360426449157E-2</v>
      </c>
      <c r="EZ61" s="3">
        <f t="shared" si="217"/>
        <v>9979.972208498024</v>
      </c>
      <c r="FA61" s="3">
        <f t="shared" si="108"/>
        <v>6.2331973071625905E-2</v>
      </c>
      <c r="FB61" s="3">
        <f t="shared" si="109"/>
        <v>1.3203445933862656</v>
      </c>
      <c r="FC61" s="1">
        <f t="shared" si="218"/>
        <v>0.35930000000000001</v>
      </c>
      <c r="FD61">
        <f>3.67/10</f>
        <v>0.36699999999999999</v>
      </c>
      <c r="FE61">
        <f>5</f>
        <v>5</v>
      </c>
      <c r="FF61" s="7">
        <f t="shared" si="219"/>
        <v>16.5825</v>
      </c>
      <c r="FG61" s="1">
        <f t="shared" si="220"/>
        <v>2.3165</v>
      </c>
      <c r="FH61">
        <v>2.63E-2</v>
      </c>
      <c r="FI61">
        <v>3.4000000000000002E-2</v>
      </c>
      <c r="FJ61">
        <v>4.41E-2</v>
      </c>
      <c r="FK61">
        <v>4.0899999999999999E-2</v>
      </c>
      <c r="FL61" s="1">
        <f t="shared" si="221"/>
        <v>2.5666666666666672E-3</v>
      </c>
    </row>
    <row r="62" spans="1:310">
      <c r="A62" t="s">
        <v>112</v>
      </c>
      <c r="B62" s="1" t="s">
        <v>20</v>
      </c>
      <c r="C62" s="1">
        <v>198763</v>
      </c>
      <c r="D62" s="6">
        <f t="shared" si="141"/>
        <v>200224.9</v>
      </c>
      <c r="E62" s="6">
        <f t="shared" si="142"/>
        <v>201199.5</v>
      </c>
      <c r="F62" s="1">
        <v>203636</v>
      </c>
      <c r="G62" s="1">
        <f t="shared" si="144"/>
        <v>487.3</v>
      </c>
      <c r="H62" s="1">
        <v>1.31</v>
      </c>
      <c r="I62" s="1">
        <v>1.28</v>
      </c>
      <c r="J62" s="1">
        <v>1.22</v>
      </c>
      <c r="K62">
        <v>81228</v>
      </c>
      <c r="L62">
        <f t="shared" si="24"/>
        <v>0.40866760916267114</v>
      </c>
      <c r="M62" s="1">
        <v>73955</v>
      </c>
      <c r="N62">
        <f t="shared" si="25"/>
        <v>0.36317252352236346</v>
      </c>
      <c r="O62">
        <f t="shared" si="26"/>
        <v>-0.11132540142714921</v>
      </c>
      <c r="P62">
        <f t="shared" si="27"/>
        <v>0.19059291595126554</v>
      </c>
      <c r="Q62">
        <f t="shared" si="28"/>
        <v>0.18700402837056193</v>
      </c>
      <c r="R62">
        <f t="shared" si="29"/>
        <v>868.21600192160963</v>
      </c>
      <c r="S62">
        <f t="shared" si="30"/>
        <v>904.34526869230285</v>
      </c>
      <c r="T62">
        <f t="shared" si="31"/>
        <v>811.93738083043627</v>
      </c>
      <c r="U62">
        <v>92297.113769999996</v>
      </c>
      <c r="V62">
        <f t="shared" si="32"/>
        <v>8.7969964353787431E-3</v>
      </c>
      <c r="W62">
        <f t="shared" si="33"/>
        <v>745.35225284330863</v>
      </c>
      <c r="X62">
        <v>79429.064259999999</v>
      </c>
      <c r="Y62">
        <f t="shared" si="34"/>
        <v>9.3838730166013497E-3</v>
      </c>
      <c r="Z62" s="1">
        <v>6556</v>
      </c>
      <c r="AA62" s="1">
        <f t="shared" si="35"/>
        <v>3.2984006077589896E-2</v>
      </c>
      <c r="AB62" s="1">
        <v>88263</v>
      </c>
      <c r="AC62" s="1">
        <f t="shared" si="145"/>
        <v>0.44406152050431924</v>
      </c>
      <c r="AD62" s="1">
        <v>61.278341249999997</v>
      </c>
      <c r="AE62" s="1">
        <v>8935</v>
      </c>
      <c r="AF62">
        <f t="shared" si="165"/>
        <v>1.3628737034777303</v>
      </c>
      <c r="AG62">
        <f t="shared" si="166"/>
        <v>0.10123154662769224</v>
      </c>
      <c r="AH62">
        <f t="shared" si="222"/>
        <v>7.2466308885983308E-3</v>
      </c>
      <c r="AI62">
        <v>41808</v>
      </c>
      <c r="AJ62">
        <f t="shared" si="167"/>
        <v>54768.480000000003</v>
      </c>
      <c r="AK62">
        <f t="shared" si="146"/>
        <v>0.27353481010603581</v>
      </c>
      <c r="AL62">
        <f t="shared" si="168"/>
        <v>40.567501634999999</v>
      </c>
      <c r="AM62">
        <f t="shared" si="169"/>
        <v>6.7427078099885013E-3</v>
      </c>
      <c r="AN62">
        <v>64.069999999999993</v>
      </c>
      <c r="AO62">
        <f t="shared" si="170"/>
        <v>64069.999999999993</v>
      </c>
      <c r="AP62">
        <f t="shared" si="171"/>
        <v>82009.599999999991</v>
      </c>
      <c r="AQ62">
        <f t="shared" si="147"/>
        <v>0.40760339861679573</v>
      </c>
      <c r="AR62">
        <f t="shared" si="172"/>
        <v>51.759606732800002</v>
      </c>
      <c r="AS62">
        <f t="shared" si="173"/>
        <v>7.8749322946168737E-3</v>
      </c>
      <c r="AT62" s="1">
        <v>7533</v>
      </c>
      <c r="AU62" s="1">
        <f t="shared" si="44"/>
        <v>3.6992476772279952E-2</v>
      </c>
      <c r="AV62" s="1">
        <f t="shared" si="45"/>
        <v>0.12152770907392914</v>
      </c>
      <c r="AW62" s="1">
        <v>71543</v>
      </c>
      <c r="AX62" s="1">
        <f t="shared" si="174"/>
        <v>87282.459999999992</v>
      </c>
      <c r="AY62" s="1">
        <f t="shared" si="148"/>
        <v>0.42861998860712247</v>
      </c>
      <c r="AZ62" s="1">
        <f t="shared" si="47"/>
        <v>-3.4773406801066373E-2</v>
      </c>
      <c r="BA62" s="1">
        <f t="shared" si="175"/>
        <v>60.4858519474</v>
      </c>
      <c r="BB62" s="1">
        <v>7287</v>
      </c>
      <c r="BC62" s="1">
        <f t="shared" si="176"/>
        <v>8890.14</v>
      </c>
      <c r="BD62" s="1">
        <f t="shared" si="177"/>
        <v>1.1801592990840302</v>
      </c>
      <c r="BE62" s="1">
        <f t="shared" si="178"/>
        <v>0.10185482856463945</v>
      </c>
      <c r="BF62" s="1">
        <f t="shared" si="179"/>
        <v>7.0862850535669247E-3</v>
      </c>
      <c r="BG62" s="1">
        <v>2103</v>
      </c>
      <c r="BH62" s="1">
        <f t="shared" si="53"/>
        <v>1.0580440021533183E-2</v>
      </c>
      <c r="BI62" s="1">
        <v>62324.625999999997</v>
      </c>
      <c r="BJ62" s="1">
        <f t="shared" si="149"/>
        <v>0.31356251415001785</v>
      </c>
      <c r="BK62" s="1">
        <v>101.2013381</v>
      </c>
      <c r="BL62" s="1">
        <v>3872.66</v>
      </c>
      <c r="BM62">
        <f t="shared" si="150"/>
        <v>1.8414931050879695</v>
      </c>
      <c r="BN62">
        <f t="shared" si="151"/>
        <v>6.2136915189832026E-2</v>
      </c>
      <c r="BO62">
        <f t="shared" si="180"/>
        <v>3.0984028476004691E-3</v>
      </c>
      <c r="BP62">
        <v>46896</v>
      </c>
      <c r="BQ62">
        <f t="shared" si="181"/>
        <v>61433.760000000002</v>
      </c>
      <c r="BR62">
        <f t="shared" si="152"/>
        <v>0.30682377666314231</v>
      </c>
      <c r="BS62">
        <f t="shared" si="182"/>
        <v>59.525235619600004</v>
      </c>
      <c r="BT62">
        <f t="shared" si="183"/>
        <v>5.1545159539379262E-3</v>
      </c>
      <c r="BU62">
        <v>45.04</v>
      </c>
      <c r="BV62">
        <f t="shared" si="184"/>
        <v>45040</v>
      </c>
      <c r="BW62">
        <f t="shared" si="185"/>
        <v>57651.200000000004</v>
      </c>
      <c r="BX62">
        <f t="shared" si="154"/>
        <v>0.28653749139535639</v>
      </c>
      <c r="BY62">
        <f t="shared" si="186"/>
        <v>76.247206297600002</v>
      </c>
      <c r="BZ62">
        <f t="shared" si="187"/>
        <v>3.7580064281565106E-3</v>
      </c>
      <c r="CA62" s="1">
        <v>2220</v>
      </c>
      <c r="CB62" s="1">
        <f t="shared" si="61"/>
        <v>1.0901805181794967E-2</v>
      </c>
      <c r="CC62" s="1">
        <f t="shared" si="62"/>
        <v>3.0373515620120247E-2</v>
      </c>
      <c r="CD62" s="1">
        <v>57220</v>
      </c>
      <c r="CE62" s="1">
        <f t="shared" si="188"/>
        <v>69808.399999999994</v>
      </c>
      <c r="CF62">
        <f t="shared" si="155"/>
        <v>0.34280971930307014</v>
      </c>
      <c r="CG62">
        <f t="shared" si="64"/>
        <v>9.3273920935139393E-2</v>
      </c>
      <c r="CH62">
        <f t="shared" si="189"/>
        <v>90.917938902799989</v>
      </c>
      <c r="CI62" s="1">
        <v>3492</v>
      </c>
      <c r="CJ62" s="1">
        <f t="shared" si="190"/>
        <v>4260.24</v>
      </c>
      <c r="CK62">
        <f t="shared" si="191"/>
        <v>1.9190270270270269</v>
      </c>
      <c r="CL62">
        <f t="shared" si="192"/>
        <v>6.1027612722824191E-2</v>
      </c>
      <c r="CM62">
        <f t="shared" si="193"/>
        <v>3.7705399334840473E-3</v>
      </c>
      <c r="CN62" s="1">
        <v>26728</v>
      </c>
      <c r="CO62" s="1">
        <f t="shared" si="70"/>
        <v>0.13447170751095525</v>
      </c>
      <c r="CP62" s="1">
        <v>161232522</v>
      </c>
      <c r="CQ62" s="1">
        <f t="shared" si="156"/>
        <v>811.17975679578194</v>
      </c>
      <c r="CR62" s="1">
        <v>108123.0123</v>
      </c>
      <c r="CS62" s="1">
        <v>30710752</v>
      </c>
      <c r="CT62">
        <f t="shared" si="194"/>
        <v>1149.0104759054175</v>
      </c>
      <c r="CU62">
        <f t="shared" si="195"/>
        <v>0.19047492167864247</v>
      </c>
      <c r="CV62">
        <f t="shared" si="196"/>
        <v>7.5023784441471944E-3</v>
      </c>
      <c r="CW62" s="1">
        <v>22961</v>
      </c>
      <c r="CX62" s="1">
        <f t="shared" si="74"/>
        <v>0.11275511206270011</v>
      </c>
      <c r="CY62" s="1">
        <f t="shared" si="75"/>
        <v>-0.16149564730176352</v>
      </c>
      <c r="CZ62" s="1">
        <v>124281525</v>
      </c>
      <c r="DA62" s="1">
        <f t="shared" si="143"/>
        <v>151623460.5</v>
      </c>
      <c r="DB62" s="1">
        <f t="shared" si="157"/>
        <v>744.58082313539842</v>
      </c>
      <c r="DC62" s="1">
        <f t="shared" si="76"/>
        <v>-8.210132600381212E-2</v>
      </c>
      <c r="DD62" s="1">
        <f t="shared" si="197"/>
        <v>93954.54819500001</v>
      </c>
      <c r="DE62" s="1">
        <v>24239017</v>
      </c>
      <c r="DF62" s="1">
        <f t="shared" si="198"/>
        <v>29571600.739999998</v>
      </c>
      <c r="DG62">
        <f t="shared" si="199"/>
        <v>1287.9056112538651</v>
      </c>
      <c r="DH62">
        <f t="shared" si="200"/>
        <v>0.19503314752534617</v>
      </c>
      <c r="DI62">
        <f t="shared" si="201"/>
        <v>7.9249045143620078E-3</v>
      </c>
      <c r="DJ62" s="1">
        <v>5378690</v>
      </c>
      <c r="DK62">
        <f t="shared" si="158"/>
        <v>27.060821178992065</v>
      </c>
      <c r="DL62">
        <v>1889.3069949999999</v>
      </c>
      <c r="DM62" s="1">
        <v>1060058</v>
      </c>
      <c r="DN62" s="3">
        <f t="shared" si="202"/>
        <v>1.4323146662034174E-2</v>
      </c>
      <c r="DO62" s="1">
        <v>5264972</v>
      </c>
      <c r="DP62" s="1">
        <f t="shared" si="203"/>
        <v>6423265.8399999999</v>
      </c>
      <c r="DQ62" s="3">
        <f t="shared" si="159"/>
        <v>31.542879647999371</v>
      </c>
      <c r="DR62" s="3">
        <f t="shared" si="204"/>
        <v>1905.8896083399998</v>
      </c>
      <c r="DS62" s="3">
        <f t="shared" si="205"/>
        <v>1020765.5769652101</v>
      </c>
      <c r="DT62" s="3">
        <f t="shared" si="206"/>
        <v>1.6550213354420213E-2</v>
      </c>
      <c r="DU62" s="3">
        <f t="shared" si="207"/>
        <v>0.96293370453806315</v>
      </c>
      <c r="DV62" s="3">
        <f t="shared" si="208"/>
        <v>407.20327338232659</v>
      </c>
      <c r="DW62" s="3">
        <f t="shared" si="209"/>
        <v>0.11862649538482943</v>
      </c>
      <c r="DX62" s="3">
        <f t="shared" si="210"/>
        <v>166761799.62599999</v>
      </c>
      <c r="DY62" s="3">
        <f t="shared" si="91"/>
        <v>838.99820200942827</v>
      </c>
      <c r="DZ62" s="3">
        <f t="shared" si="211"/>
        <v>166611212</v>
      </c>
      <c r="EA62" s="3">
        <f t="shared" si="212"/>
        <v>116202.24000000001</v>
      </c>
      <c r="EB62" s="3">
        <f t="shared" si="94"/>
        <v>0.58035858676917806</v>
      </c>
      <c r="EC62" s="3">
        <f t="shared" si="213"/>
        <v>139660.79999999999</v>
      </c>
      <c r="ED62" s="3">
        <f t="shared" si="96"/>
        <v>0.69414089001215207</v>
      </c>
      <c r="EE62" s="9">
        <f t="shared" si="214"/>
        <v>158203817.20000002</v>
      </c>
      <c r="EF62" s="13">
        <f t="shared" si="98"/>
        <v>776.89513249130812</v>
      </c>
      <c r="EG62" s="14">
        <f t="shared" si="99"/>
        <v>-7.40205037023694E-2</v>
      </c>
      <c r="EH62" s="9">
        <f t="shared" si="215"/>
        <v>158046726.34</v>
      </c>
      <c r="EI62" s="10">
        <v>98331</v>
      </c>
      <c r="EJ62" s="10">
        <f t="shared" si="160"/>
        <v>128813.61</v>
      </c>
      <c r="EK62" s="10">
        <f t="shared" si="101"/>
        <v>0.64334460898719392</v>
      </c>
      <c r="EL62" s="10">
        <v>182000</v>
      </c>
      <c r="EM62" s="10">
        <f t="shared" si="161"/>
        <v>232960</v>
      </c>
      <c r="EN62" s="10">
        <f t="shared" si="102"/>
        <v>1.1578557600789265</v>
      </c>
      <c r="EO62" s="11">
        <v>516615</v>
      </c>
      <c r="EP62" s="11">
        <f t="shared" si="162"/>
        <v>630270.29999999993</v>
      </c>
      <c r="EQ62" s="11">
        <f t="shared" si="103"/>
        <v>3.0950828930051659</v>
      </c>
      <c r="ER62" s="10">
        <f t="shared" si="104"/>
        <v>4.8962832620712859</v>
      </c>
      <c r="ES62" s="10">
        <f t="shared" si="216"/>
        <v>2.7054872081043952</v>
      </c>
      <c r="ET62" s="12">
        <v>207850</v>
      </c>
      <c r="EU62" s="12">
        <f t="shared" si="163"/>
        <v>272283.5</v>
      </c>
      <c r="EV62" s="12">
        <f t="shared" si="105"/>
        <v>1.3598883056003523</v>
      </c>
      <c r="EW62" s="10">
        <v>11000</v>
      </c>
      <c r="EX62" s="10">
        <f t="shared" si="164"/>
        <v>14080</v>
      </c>
      <c r="EY62" s="10">
        <f t="shared" si="106"/>
        <v>6.9980293191583484E-2</v>
      </c>
      <c r="EZ62" s="3">
        <f t="shared" si="217"/>
        <v>29760.359289148349</v>
      </c>
      <c r="FA62" s="3">
        <f t="shared" si="108"/>
        <v>0.14614488248221508</v>
      </c>
      <c r="FB62" s="3">
        <f t="shared" si="109"/>
        <v>1.5760134812741509</v>
      </c>
      <c r="FC62" s="1">
        <f t="shared" si="218"/>
        <v>0.34429999999999999</v>
      </c>
      <c r="FD62">
        <f>3.52/10</f>
        <v>0.35199999999999998</v>
      </c>
      <c r="FE62">
        <f>3.8</f>
        <v>3.8</v>
      </c>
      <c r="FF62" s="7">
        <f t="shared" si="219"/>
        <v>12.419999999999998</v>
      </c>
      <c r="FG62" s="1">
        <f t="shared" si="220"/>
        <v>1.724</v>
      </c>
      <c r="FH62">
        <v>2.63E-2</v>
      </c>
      <c r="FI62">
        <v>3.4000000000000002E-2</v>
      </c>
      <c r="FJ62">
        <v>4.41E-2</v>
      </c>
      <c r="FK62">
        <v>4.0899999999999999E-2</v>
      </c>
      <c r="FL62" s="1">
        <f t="shared" si="221"/>
        <v>2.5666666666666672E-3</v>
      </c>
    </row>
    <row r="63" spans="1:310">
      <c r="A63" t="s">
        <v>112</v>
      </c>
      <c r="B63" s="1" t="s">
        <v>21</v>
      </c>
      <c r="C63" s="1">
        <v>291606</v>
      </c>
      <c r="D63" s="6">
        <f t="shared" si="141"/>
        <v>292656.59999999998</v>
      </c>
      <c r="E63" s="6">
        <f t="shared" si="142"/>
        <v>293357</v>
      </c>
      <c r="F63" s="1">
        <v>295108</v>
      </c>
      <c r="G63" s="1">
        <f t="shared" si="144"/>
        <v>350.2</v>
      </c>
      <c r="H63" s="1">
        <v>1.31</v>
      </c>
      <c r="I63" s="1">
        <v>1.28</v>
      </c>
      <c r="J63" s="1">
        <v>1.22</v>
      </c>
      <c r="K63">
        <v>122748</v>
      </c>
      <c r="L63">
        <f t="shared" si="24"/>
        <v>0.42093784078516905</v>
      </c>
      <c r="M63" s="1">
        <v>105766</v>
      </c>
      <c r="N63">
        <f t="shared" si="25"/>
        <v>0.35839760358919448</v>
      </c>
      <c r="O63">
        <f t="shared" si="26"/>
        <v>-0.14857356867541108</v>
      </c>
      <c r="P63">
        <f t="shared" si="27"/>
        <v>0.21448941201369268</v>
      </c>
      <c r="Q63">
        <f t="shared" si="28"/>
        <v>0.20295377780794363</v>
      </c>
      <c r="R63">
        <f t="shared" si="29"/>
        <v>989.11790117000874</v>
      </c>
      <c r="S63">
        <f t="shared" si="30"/>
        <v>879.24559481582548</v>
      </c>
      <c r="T63">
        <f t="shared" si="31"/>
        <v>835.64770109668518</v>
      </c>
      <c r="U63">
        <v>92297.113769999996</v>
      </c>
      <c r="V63">
        <f t="shared" si="32"/>
        <v>9.0538876782114697E-3</v>
      </c>
      <c r="W63">
        <f t="shared" si="33"/>
        <v>624.17110440923318</v>
      </c>
      <c r="X63">
        <v>79429.064259999999</v>
      </c>
      <c r="Y63">
        <f t="shared" si="34"/>
        <v>7.8582205421191403E-3</v>
      </c>
      <c r="Z63" s="1">
        <v>13023</v>
      </c>
      <c r="AA63" s="1">
        <f t="shared" si="35"/>
        <v>4.4659574905866133E-2</v>
      </c>
      <c r="AB63" s="1">
        <v>156885</v>
      </c>
      <c r="AC63" s="1">
        <f t="shared" si="145"/>
        <v>0.53800333326474759</v>
      </c>
      <c r="AD63" s="1">
        <v>61.278341249999997</v>
      </c>
      <c r="AE63" s="1">
        <v>17821</v>
      </c>
      <c r="AF63">
        <f t="shared" si="165"/>
        <v>1.3684250940643476</v>
      </c>
      <c r="AG63">
        <f t="shared" si="166"/>
        <v>0.113592759027313</v>
      </c>
      <c r="AH63">
        <f t="shared" si="222"/>
        <v>8.7796654134261118E-3</v>
      </c>
      <c r="AI63">
        <v>73794</v>
      </c>
      <c r="AJ63">
        <f t="shared" si="167"/>
        <v>96670.14</v>
      </c>
      <c r="AK63">
        <f t="shared" si="146"/>
        <v>0.3303193572261825</v>
      </c>
      <c r="AL63">
        <f t="shared" si="168"/>
        <v>40.567501634999999</v>
      </c>
      <c r="AM63">
        <f t="shared" si="169"/>
        <v>8.1424624123561089E-3</v>
      </c>
      <c r="AN63">
        <v>94.03</v>
      </c>
      <c r="AO63">
        <f t="shared" si="170"/>
        <v>94030</v>
      </c>
      <c r="AP63">
        <f t="shared" si="171"/>
        <v>120358.40000000001</v>
      </c>
      <c r="AQ63">
        <f t="shared" si="147"/>
        <v>0.41027962516660593</v>
      </c>
      <c r="AR63">
        <f t="shared" si="172"/>
        <v>51.759606732800002</v>
      </c>
      <c r="AS63">
        <f t="shared" si="173"/>
        <v>7.9266372189534477E-3</v>
      </c>
      <c r="AT63" s="1">
        <v>13505</v>
      </c>
      <c r="AU63" s="1">
        <f t="shared" si="44"/>
        <v>4.5762907139081287E-2</v>
      </c>
      <c r="AV63" s="1">
        <f t="shared" si="45"/>
        <v>2.4705390401515644E-2</v>
      </c>
      <c r="AW63" s="1">
        <v>122003</v>
      </c>
      <c r="AX63" s="1">
        <f t="shared" si="174"/>
        <v>148843.66</v>
      </c>
      <c r="AY63" s="1">
        <f t="shared" si="148"/>
        <v>0.50437012890196131</v>
      </c>
      <c r="AZ63" s="1">
        <f t="shared" si="47"/>
        <v>-6.2514862424162002E-2</v>
      </c>
      <c r="BA63" s="1">
        <f t="shared" si="175"/>
        <v>60.4858519474</v>
      </c>
      <c r="BB63" s="1">
        <v>14068</v>
      </c>
      <c r="BC63" s="1">
        <f t="shared" si="176"/>
        <v>17162.96</v>
      </c>
      <c r="BD63" s="1">
        <f t="shared" si="177"/>
        <v>1.2708596815994075</v>
      </c>
      <c r="BE63" s="1">
        <f t="shared" si="178"/>
        <v>0.1153086399514766</v>
      </c>
      <c r="BF63" s="1">
        <f t="shared" si="179"/>
        <v>8.3386463555241656E-3</v>
      </c>
      <c r="BG63" s="1">
        <v>5079</v>
      </c>
      <c r="BH63" s="1">
        <f t="shared" si="53"/>
        <v>1.7417337091829386E-2</v>
      </c>
      <c r="BI63" s="1">
        <v>182143.52600000001</v>
      </c>
      <c r="BJ63" s="1">
        <f t="shared" si="149"/>
        <v>0.6246220105210456</v>
      </c>
      <c r="BK63" s="1">
        <v>101.2013381</v>
      </c>
      <c r="BL63" s="1">
        <v>10152.861999999999</v>
      </c>
      <c r="BM63">
        <f t="shared" si="150"/>
        <v>1.9989883835400668</v>
      </c>
      <c r="BN63">
        <f t="shared" si="151"/>
        <v>5.5740998447564909E-2</v>
      </c>
      <c r="BO63">
        <f t="shared" si="180"/>
        <v>6.1720726449667924E-3</v>
      </c>
      <c r="BP63">
        <v>73825</v>
      </c>
      <c r="BQ63">
        <f t="shared" si="181"/>
        <v>96710.75</v>
      </c>
      <c r="BR63">
        <f t="shared" si="152"/>
        <v>0.33045812054127605</v>
      </c>
      <c r="BS63">
        <f t="shared" si="182"/>
        <v>59.525235619600004</v>
      </c>
      <c r="BT63">
        <f t="shared" si="183"/>
        <v>5.5515634184649136E-3</v>
      </c>
      <c r="BU63">
        <v>105.68</v>
      </c>
      <c r="BV63">
        <f t="shared" si="184"/>
        <v>105680</v>
      </c>
      <c r="BW63">
        <f t="shared" si="185"/>
        <v>135270.39999999999</v>
      </c>
      <c r="BX63">
        <f t="shared" si="154"/>
        <v>0.46111188756361698</v>
      </c>
      <c r="BY63">
        <f t="shared" si="186"/>
        <v>76.247206297600002</v>
      </c>
      <c r="BZ63">
        <f t="shared" si="187"/>
        <v>6.0475905932061823E-3</v>
      </c>
      <c r="CA63" s="1">
        <v>4831</v>
      </c>
      <c r="CB63" s="1">
        <f t="shared" si="61"/>
        <v>1.6370277999918675E-2</v>
      </c>
      <c r="CC63" s="1">
        <f t="shared" si="62"/>
        <v>-6.0115911312406942E-2</v>
      </c>
      <c r="CD63" s="1">
        <v>168256</v>
      </c>
      <c r="CE63" s="1">
        <f t="shared" si="188"/>
        <v>205272.32000000001</v>
      </c>
      <c r="CF63">
        <f t="shared" si="155"/>
        <v>0.69558371850305656</v>
      </c>
      <c r="CG63">
        <f t="shared" si="64"/>
        <v>0.11360744063888543</v>
      </c>
      <c r="CH63">
        <f t="shared" si="189"/>
        <v>90.917938902799989</v>
      </c>
      <c r="CI63" s="1">
        <v>8629</v>
      </c>
      <c r="CJ63" s="1">
        <f t="shared" si="190"/>
        <v>10527.38</v>
      </c>
      <c r="CK63">
        <f t="shared" si="191"/>
        <v>2.1791306147795484</v>
      </c>
      <c r="CL63">
        <f t="shared" si="192"/>
        <v>5.1284946747812851E-2</v>
      </c>
      <c r="CM63">
        <f t="shared" si="193"/>
        <v>7.650676279042163E-3</v>
      </c>
      <c r="CN63" s="1">
        <v>35060</v>
      </c>
      <c r="CO63" s="1">
        <f t="shared" si="70"/>
        <v>0.12023072227594768</v>
      </c>
      <c r="CP63" s="1">
        <v>243340855</v>
      </c>
      <c r="CQ63" s="1">
        <f t="shared" si="156"/>
        <v>834.48507575289943</v>
      </c>
      <c r="CR63" s="1">
        <v>108123.0123</v>
      </c>
      <c r="CS63" s="1">
        <v>52555512</v>
      </c>
      <c r="CT63">
        <f t="shared" si="194"/>
        <v>1499.0163148887621</v>
      </c>
      <c r="CU63">
        <f t="shared" si="195"/>
        <v>0.2159748801737382</v>
      </c>
      <c r="CV63">
        <f t="shared" si="196"/>
        <v>7.7179229287242064E-3</v>
      </c>
      <c r="CW63" s="1">
        <v>25644</v>
      </c>
      <c r="CX63" s="1">
        <f t="shared" si="74"/>
        <v>8.6897000420185153E-2</v>
      </c>
      <c r="CY63" s="1">
        <f t="shared" si="75"/>
        <v>-0.27724795480523351</v>
      </c>
      <c r="CZ63" s="1">
        <v>150691615</v>
      </c>
      <c r="DA63" s="1">
        <f t="shared" si="143"/>
        <v>183843770.29999998</v>
      </c>
      <c r="DB63" s="1">
        <f t="shared" si="157"/>
        <v>622.97115056182815</v>
      </c>
      <c r="DC63" s="1">
        <f t="shared" si="76"/>
        <v>-0.25346639662816806</v>
      </c>
      <c r="DD63" s="1">
        <f t="shared" si="197"/>
        <v>93954.54819500001</v>
      </c>
      <c r="DE63" s="1">
        <v>31673386</v>
      </c>
      <c r="DF63" s="1">
        <f t="shared" si="198"/>
        <v>38641530.920000002</v>
      </c>
      <c r="DG63">
        <f t="shared" si="199"/>
        <v>1506.8449118702231</v>
      </c>
      <c r="DH63">
        <f t="shared" si="200"/>
        <v>0.21018678444716385</v>
      </c>
      <c r="DI63">
        <f t="shared" si="201"/>
        <v>6.6305587385601505E-3</v>
      </c>
      <c r="DJ63" s="1">
        <v>6660762</v>
      </c>
      <c r="DK63">
        <f t="shared" si="158"/>
        <v>22.84164934877883</v>
      </c>
      <c r="DL63">
        <v>1889.3069949999999</v>
      </c>
      <c r="DM63" s="1">
        <v>1111932</v>
      </c>
      <c r="DN63" s="3">
        <f t="shared" si="202"/>
        <v>1.2089961773935438E-2</v>
      </c>
      <c r="DO63" s="1">
        <v>5192026</v>
      </c>
      <c r="DP63" s="1">
        <f t="shared" si="203"/>
        <v>6334271.7199999997</v>
      </c>
      <c r="DQ63" s="3">
        <f t="shared" si="159"/>
        <v>21.464249427328298</v>
      </c>
      <c r="DR63" s="3">
        <f t="shared" si="204"/>
        <v>1905.8896083399998</v>
      </c>
      <c r="DS63" s="3">
        <f t="shared" si="205"/>
        <v>817700.53523870592</v>
      </c>
      <c r="DT63" s="3">
        <f t="shared" si="206"/>
        <v>1.12620633080755E-2</v>
      </c>
      <c r="DU63" s="3">
        <f t="shared" si="207"/>
        <v>0.73538717766797423</v>
      </c>
      <c r="DV63" s="3">
        <f t="shared" si="208"/>
        <v>502.11310508882815</v>
      </c>
      <c r="DW63" s="3">
        <f t="shared" si="209"/>
        <v>0.12701483479917822</v>
      </c>
      <c r="DX63" s="3">
        <f t="shared" si="210"/>
        <v>250340645.52599999</v>
      </c>
      <c r="DY63" s="3">
        <f t="shared" si="91"/>
        <v>858.48935044546408</v>
      </c>
      <c r="DZ63" s="3">
        <f t="shared" si="211"/>
        <v>250001617</v>
      </c>
      <c r="EA63" s="3">
        <f t="shared" si="212"/>
        <v>193380.89</v>
      </c>
      <c r="EB63" s="3">
        <f t="shared" si="94"/>
        <v>0.66077747776745865</v>
      </c>
      <c r="EC63" s="3">
        <f t="shared" si="213"/>
        <v>255628.79999999999</v>
      </c>
      <c r="ED63" s="3">
        <f t="shared" si="96"/>
        <v>0.87139151273022286</v>
      </c>
      <c r="EE63" s="9">
        <f t="shared" si="214"/>
        <v>190532157.99999997</v>
      </c>
      <c r="EF63" s="13">
        <f t="shared" si="98"/>
        <v>645.63535383656142</v>
      </c>
      <c r="EG63" s="14">
        <f t="shared" si="99"/>
        <v>-0.24794017130026624</v>
      </c>
      <c r="EH63" s="9">
        <f t="shared" si="215"/>
        <v>190178042.01999998</v>
      </c>
      <c r="EI63" s="10">
        <v>433764</v>
      </c>
      <c r="EJ63" s="10">
        <f t="shared" si="160"/>
        <v>568230.84</v>
      </c>
      <c r="EK63" s="10">
        <f t="shared" si="101"/>
        <v>1.9416300196202649</v>
      </c>
      <c r="EL63" s="10">
        <v>463000</v>
      </c>
      <c r="EM63" s="10">
        <f t="shared" si="161"/>
        <v>592640</v>
      </c>
      <c r="EN63" s="10">
        <f t="shared" si="102"/>
        <v>2.0202006429026751</v>
      </c>
      <c r="EO63" s="11">
        <v>1665759</v>
      </c>
      <c r="EP63" s="11">
        <f t="shared" si="162"/>
        <v>2032225.98</v>
      </c>
      <c r="EQ63" s="11">
        <f t="shared" si="103"/>
        <v>6.8863805115415371</v>
      </c>
      <c r="ER63" s="10">
        <f t="shared" si="104"/>
        <v>10.848211174064478</v>
      </c>
      <c r="ES63" s="10">
        <f t="shared" si="216"/>
        <v>3.4291070126889847</v>
      </c>
      <c r="ET63" s="12">
        <v>258662</v>
      </c>
      <c r="EU63" s="12">
        <f t="shared" si="163"/>
        <v>338847.22000000003</v>
      </c>
      <c r="EV63" s="12">
        <f t="shared" si="105"/>
        <v>1.1578321486684395</v>
      </c>
      <c r="EW63" s="10">
        <v>27000</v>
      </c>
      <c r="EX63" s="10">
        <f t="shared" si="164"/>
        <v>34560</v>
      </c>
      <c r="EY63" s="10">
        <f t="shared" si="106"/>
        <v>0.11780867679994</v>
      </c>
      <c r="EZ63" s="3">
        <f t="shared" si="217"/>
        <v>92585.88934260259</v>
      </c>
      <c r="FA63" s="3">
        <f t="shared" si="108"/>
        <v>0.31373561320805465</v>
      </c>
      <c r="FB63" s="3">
        <f t="shared" si="109"/>
        <v>1.5893764386764342</v>
      </c>
      <c r="FC63" s="1">
        <f t="shared" si="218"/>
        <v>0.41830000000000001</v>
      </c>
      <c r="FD63">
        <f>4.26/10</f>
        <v>0.42599999999999999</v>
      </c>
      <c r="FE63">
        <f>4.9</f>
        <v>4.9000000000000004</v>
      </c>
      <c r="FF63" s="7">
        <f t="shared" si="219"/>
        <v>16.085000000000001</v>
      </c>
      <c r="FG63" s="1">
        <f t="shared" si="220"/>
        <v>2.2370000000000001</v>
      </c>
      <c r="FH63">
        <v>2.63E-2</v>
      </c>
      <c r="FI63">
        <v>3.4000000000000002E-2</v>
      </c>
      <c r="FJ63">
        <v>4.41E-2</v>
      </c>
      <c r="FK63">
        <v>4.0899999999999999E-2</v>
      </c>
      <c r="FL63" s="1">
        <f t="shared" si="221"/>
        <v>2.5666666666666672E-3</v>
      </c>
    </row>
    <row r="64" spans="1:310" s="5" customFormat="1">
      <c r="A64" s="5" t="s">
        <v>112</v>
      </c>
      <c r="B64" s="3" t="s">
        <v>22</v>
      </c>
      <c r="C64" s="4">
        <v>6930446</v>
      </c>
      <c r="D64" s="6">
        <v>7087811</v>
      </c>
      <c r="E64" s="6">
        <v>7192721</v>
      </c>
      <c r="F64" s="3">
        <v>7454995</v>
      </c>
      <c r="G64" s="1">
        <f t="shared" si="144"/>
        <v>52454.9</v>
      </c>
      <c r="H64" s="1">
        <v>1.31</v>
      </c>
      <c r="I64" s="1">
        <v>1.28</v>
      </c>
      <c r="J64" s="1">
        <v>1.22</v>
      </c>
      <c r="K64" s="1">
        <v>3187636</v>
      </c>
      <c r="L64">
        <f t="shared" si="24"/>
        <v>0.45994673358684274</v>
      </c>
      <c r="M64" s="1">
        <v>2839366</v>
      </c>
      <c r="N64">
        <f t="shared" si="25"/>
        <v>0.3808675928018731</v>
      </c>
      <c r="O64">
        <f t="shared" si="26"/>
        <v>-0.17193108464599777</v>
      </c>
      <c r="P64">
        <f t="shared" si="27"/>
        <v>0.15225743594446509</v>
      </c>
      <c r="Q64">
        <f t="shared" si="28"/>
        <v>0.15355490647254633</v>
      </c>
      <c r="R64">
        <f t="shared" si="29"/>
        <v>817.63200453133538</v>
      </c>
      <c r="S64">
        <f t="shared" si="30"/>
        <v>709.36504326986596</v>
      </c>
      <c r="T64">
        <f t="shared" si="31"/>
        <v>866.34521387512439</v>
      </c>
      <c r="U64">
        <v>92297.113769999996</v>
      </c>
      <c r="V64">
        <f t="shared" si="32"/>
        <v>9.3864821822491149E-3</v>
      </c>
      <c r="W64">
        <f t="shared" si="33"/>
        <v>675.03391854991185</v>
      </c>
      <c r="X64">
        <v>79429.064259999999</v>
      </c>
      <c r="Y64">
        <f t="shared" si="34"/>
        <v>8.4985757397352951E-3</v>
      </c>
      <c r="Z64" s="4">
        <v>316570</v>
      </c>
      <c r="AA64" s="1">
        <f t="shared" si="35"/>
        <v>4.5678156932468704E-2</v>
      </c>
      <c r="AB64" s="4">
        <v>4272633</v>
      </c>
      <c r="AC64" s="3">
        <f t="shared" si="145"/>
        <v>0.61650188169707987</v>
      </c>
      <c r="AD64" s="1">
        <v>61.278341249999997</v>
      </c>
      <c r="AE64" s="4">
        <v>513799</v>
      </c>
      <c r="AF64" s="5">
        <f t="shared" si="165"/>
        <v>1.6230186056796285</v>
      </c>
      <c r="AG64" s="5">
        <f t="shared" si="166"/>
        <v>0.12025348303961515</v>
      </c>
      <c r="AH64">
        <f t="shared" si="222"/>
        <v>1.0060681622923008E-2</v>
      </c>
      <c r="AI64" s="5">
        <v>2245801</v>
      </c>
      <c r="AJ64">
        <f t="shared" si="167"/>
        <v>2941999.31</v>
      </c>
      <c r="AK64">
        <f t="shared" si="146"/>
        <v>0.41507869072693954</v>
      </c>
      <c r="AL64">
        <f t="shared" si="168"/>
        <v>40.567501634999999</v>
      </c>
      <c r="AM64">
        <f t="shared" si="169"/>
        <v>1.023180314285922E-2</v>
      </c>
      <c r="AN64" s="5">
        <v>2847.33</v>
      </c>
      <c r="AO64">
        <f t="shared" si="170"/>
        <v>2847330</v>
      </c>
      <c r="AP64">
        <f t="shared" si="171"/>
        <v>3644582.4</v>
      </c>
      <c r="AQ64">
        <f t="shared" si="147"/>
        <v>0.50670426393572054</v>
      </c>
      <c r="AR64">
        <f t="shared" si="172"/>
        <v>51.759606732800002</v>
      </c>
      <c r="AS64">
        <f t="shared" si="173"/>
        <v>9.7895694330038772E-3</v>
      </c>
      <c r="AT64" s="3">
        <v>335833</v>
      </c>
      <c r="AU64" s="1">
        <f t="shared" si="44"/>
        <v>4.5048051675420309E-2</v>
      </c>
      <c r="AV64" s="1">
        <f t="shared" si="45"/>
        <v>-1.379445449123424E-2</v>
      </c>
      <c r="AW64" s="3">
        <v>3192594</v>
      </c>
      <c r="AX64" s="1">
        <f t="shared" si="174"/>
        <v>3894964.6799999997</v>
      </c>
      <c r="AY64" s="1">
        <f t="shared" si="148"/>
        <v>0.52246375483819907</v>
      </c>
      <c r="AZ64" s="1">
        <f t="shared" si="47"/>
        <v>-0.15253502000677871</v>
      </c>
      <c r="BA64" s="1">
        <f t="shared" si="175"/>
        <v>60.4858519474</v>
      </c>
      <c r="BB64" s="1">
        <v>420688</v>
      </c>
      <c r="BC64" s="1">
        <f t="shared" si="176"/>
        <v>513239.36</v>
      </c>
      <c r="BD64" s="1">
        <f t="shared" si="177"/>
        <v>1.5282576756900006</v>
      </c>
      <c r="BE64" s="1">
        <f t="shared" si="178"/>
        <v>0.13176996511300842</v>
      </c>
      <c r="BF64" s="1">
        <f t="shared" si="179"/>
        <v>8.6377845069049615E-3</v>
      </c>
      <c r="BG64" s="4">
        <v>237291</v>
      </c>
      <c r="BH64" s="1">
        <f t="shared" si="53"/>
        <v>3.4238921997227882E-2</v>
      </c>
      <c r="BI64" s="4">
        <v>15631148.119999999</v>
      </c>
      <c r="BJ64" s="3">
        <f t="shared" si="149"/>
        <v>2.2554317745207162</v>
      </c>
      <c r="BK64" s="1">
        <v>101.2013381</v>
      </c>
      <c r="BL64" s="4">
        <v>596493.58200000005</v>
      </c>
      <c r="BM64" s="5">
        <f t="shared" si="150"/>
        <v>2.5137640365627019</v>
      </c>
      <c r="BN64" s="5">
        <f t="shared" si="151"/>
        <v>3.8160573837617763E-2</v>
      </c>
      <c r="BO64">
        <f t="shared" si="180"/>
        <v>2.2286580561731884E-2</v>
      </c>
      <c r="BP64" s="5">
        <v>7376091</v>
      </c>
      <c r="BQ64">
        <f t="shared" si="181"/>
        <v>9662679.2100000009</v>
      </c>
      <c r="BR64">
        <f t="shared" si="152"/>
        <v>1.3632811611370563</v>
      </c>
      <c r="BS64">
        <f t="shared" si="182"/>
        <v>59.525235619600004</v>
      </c>
      <c r="BT64">
        <f t="shared" si="183"/>
        <v>2.2902574797841972E-2</v>
      </c>
      <c r="BU64" s="5">
        <v>9617.91</v>
      </c>
      <c r="BV64">
        <f t="shared" si="184"/>
        <v>9617910</v>
      </c>
      <c r="BW64">
        <f t="shared" si="185"/>
        <v>12310924.800000001</v>
      </c>
      <c r="BX64">
        <f t="shared" si="154"/>
        <v>1.7115810275415939</v>
      </c>
      <c r="BY64">
        <f t="shared" si="186"/>
        <v>76.247206297600002</v>
      </c>
      <c r="BZ64">
        <f t="shared" si="187"/>
        <v>2.2447786753800953E-2</v>
      </c>
      <c r="CA64" s="1">
        <v>241405</v>
      </c>
      <c r="CB64" s="1">
        <f t="shared" si="61"/>
        <v>3.2381644789835538E-2</v>
      </c>
      <c r="CC64" s="1">
        <f t="shared" si="62"/>
        <v>-5.4244616917048856E-2</v>
      </c>
      <c r="CD64" s="1">
        <v>12954252</v>
      </c>
      <c r="CE64" s="1">
        <f t="shared" si="188"/>
        <v>15804187.439999999</v>
      </c>
      <c r="CF64">
        <f t="shared" si="155"/>
        <v>2.1199460817881164</v>
      </c>
      <c r="CG64">
        <f t="shared" si="64"/>
        <v>-6.0070845087473679E-2</v>
      </c>
      <c r="CH64">
        <f t="shared" si="189"/>
        <v>90.917938902799989</v>
      </c>
      <c r="CI64" s="1">
        <v>544796</v>
      </c>
      <c r="CJ64" s="1">
        <f t="shared" si="190"/>
        <v>664651.12</v>
      </c>
      <c r="CK64">
        <f t="shared" si="191"/>
        <v>2.7532616142996211</v>
      </c>
      <c r="CL64">
        <f t="shared" si="192"/>
        <v>4.2055380735221144E-2</v>
      </c>
      <c r="CM64">
        <f t="shared" si="193"/>
        <v>2.3317137490925111E-2</v>
      </c>
      <c r="CN64" s="4">
        <v>563249</v>
      </c>
      <c r="CO64" s="1">
        <f t="shared" si="70"/>
        <v>8.1271681505057536E-2</v>
      </c>
      <c r="CP64" s="4">
        <v>5984254941</v>
      </c>
      <c r="CQ64" s="1">
        <f t="shared" si="156"/>
        <v>863.47328021890655</v>
      </c>
      <c r="CR64" s="1">
        <v>108123.0123</v>
      </c>
      <c r="CS64" s="4">
        <v>912274596</v>
      </c>
      <c r="CT64" s="5">
        <f t="shared" si="194"/>
        <v>1619.66483029708</v>
      </c>
      <c r="CU64" s="5">
        <f t="shared" si="195"/>
        <v>0.15244581071399912</v>
      </c>
      <c r="CV64">
        <f t="shared" si="196"/>
        <v>7.9860268582149611E-3</v>
      </c>
      <c r="CW64" s="3">
        <v>512666</v>
      </c>
      <c r="CX64" s="1">
        <f t="shared" si="74"/>
        <v>6.8768121239517935E-2</v>
      </c>
      <c r="CY64" s="1">
        <f t="shared" si="75"/>
        <v>-0.15384891802394299</v>
      </c>
      <c r="CZ64" s="3">
        <v>4108750275</v>
      </c>
      <c r="DA64" s="1">
        <f t="shared" si="143"/>
        <v>5012675335.5</v>
      </c>
      <c r="DB64" s="1">
        <f t="shared" si="157"/>
        <v>672.39150871328548</v>
      </c>
      <c r="DC64" s="1">
        <f t="shared" si="76"/>
        <v>-0.2212943653070287</v>
      </c>
      <c r="DD64" s="1">
        <f t="shared" si="197"/>
        <v>93954.54819500001</v>
      </c>
      <c r="DE64" s="3">
        <v>632755662</v>
      </c>
      <c r="DF64" s="1">
        <f t="shared" si="198"/>
        <v>771961907.63999999</v>
      </c>
      <c r="DG64">
        <f t="shared" si="199"/>
        <v>1505.779411234605</v>
      </c>
      <c r="DH64">
        <f t="shared" si="200"/>
        <v>0.15400197618483882</v>
      </c>
      <c r="DI64">
        <f t="shared" si="201"/>
        <v>7.1565615675970888E-3</v>
      </c>
      <c r="DJ64" s="4">
        <v>1100252</v>
      </c>
      <c r="DK64" s="5">
        <f t="shared" si="158"/>
        <v>0.15875630514976957</v>
      </c>
      <c r="DL64">
        <v>1889.3069949999999</v>
      </c>
      <c r="DM64" s="3">
        <v>960445</v>
      </c>
      <c r="DN64" s="3">
        <f t="shared" si="202"/>
        <v>8.402885585556707E-5</v>
      </c>
      <c r="DO64" s="1">
        <v>2103185</v>
      </c>
      <c r="DP64" s="1">
        <f t="shared" si="203"/>
        <v>2565885.6999999997</v>
      </c>
      <c r="DQ64" s="3">
        <f t="shared" si="159"/>
        <v>0.34418342332892238</v>
      </c>
      <c r="DR64" s="3">
        <f t="shared" si="204"/>
        <v>1905.8896083399998</v>
      </c>
      <c r="DS64" s="3">
        <f t="shared" si="205"/>
        <v>812974.09524495271</v>
      </c>
      <c r="DT64" s="3">
        <f t="shared" si="206"/>
        <v>1.8058938032024886E-4</v>
      </c>
      <c r="DU64" s="3">
        <f t="shared" si="207"/>
        <v>0.84645564841813192</v>
      </c>
      <c r="DV64" s="3">
        <f t="shared" si="208"/>
        <v>522.31042391065296</v>
      </c>
      <c r="DW64" s="3">
        <f t="shared" si="209"/>
        <v>0.10644786493738341</v>
      </c>
      <c r="DX64" s="3">
        <f t="shared" si="210"/>
        <v>6005258974.1199999</v>
      </c>
      <c r="DY64" s="3">
        <f t="shared" si="91"/>
        <v>866.50397018027411</v>
      </c>
      <c r="DZ64" s="3">
        <f t="shared" si="211"/>
        <v>5985355193</v>
      </c>
      <c r="EA64" s="3">
        <f t="shared" si="212"/>
        <v>12604678.520000001</v>
      </c>
      <c r="EB64" s="3">
        <f t="shared" si="94"/>
        <v>1.778359851863996</v>
      </c>
      <c r="EC64" s="3">
        <f t="shared" si="213"/>
        <v>15955507.200000001</v>
      </c>
      <c r="ED64" s="3">
        <f t="shared" si="96"/>
        <v>2.2182852914773146</v>
      </c>
      <c r="EE64" s="9">
        <f t="shared" si="214"/>
        <v>5034940373.3199997</v>
      </c>
      <c r="EF64" s="13">
        <f t="shared" si="98"/>
        <v>675.37810197324075</v>
      </c>
      <c r="EG64" s="14">
        <f t="shared" si="99"/>
        <v>-0.22057125504834107</v>
      </c>
      <c r="EH64" s="9">
        <f t="shared" si="215"/>
        <v>5015241221.1999998</v>
      </c>
      <c r="EI64" s="10">
        <v>7083675</v>
      </c>
      <c r="EJ64" s="10">
        <f t="shared" si="160"/>
        <v>9279614.25</v>
      </c>
      <c r="EK64" s="10">
        <f t="shared" si="101"/>
        <v>1.3092355665239945</v>
      </c>
      <c r="EL64" s="10">
        <v>62917000</v>
      </c>
      <c r="EM64" s="10">
        <f t="shared" si="161"/>
        <v>80533760</v>
      </c>
      <c r="EN64" s="10">
        <f t="shared" si="102"/>
        <v>11.196563859490727</v>
      </c>
      <c r="EO64" s="11">
        <v>88660845</v>
      </c>
      <c r="EP64" s="11">
        <f t="shared" si="162"/>
        <v>108166230.89999999</v>
      </c>
      <c r="EQ64" s="11">
        <f t="shared" si="103"/>
        <v>14.509229167826403</v>
      </c>
      <c r="ER64" s="10">
        <f t="shared" si="104"/>
        <v>27.015028593841123</v>
      </c>
      <c r="ES64" s="10">
        <f t="shared" si="216"/>
        <v>1.3431166122133127</v>
      </c>
      <c r="ET64" s="12">
        <v>0</v>
      </c>
      <c r="EU64" s="12">
        <f t="shared" si="163"/>
        <v>0</v>
      </c>
      <c r="EV64" s="12">
        <f t="shared" si="105"/>
        <v>0</v>
      </c>
      <c r="EW64" s="10">
        <v>0</v>
      </c>
      <c r="EX64" s="10">
        <f t="shared" si="164"/>
        <v>0</v>
      </c>
      <c r="EY64" s="10">
        <f t="shared" si="106"/>
        <v>0</v>
      </c>
      <c r="EZ64" s="3">
        <f t="shared" si="217"/>
        <v>0</v>
      </c>
      <c r="FA64" s="3">
        <f t="shared" si="108"/>
        <v>0</v>
      </c>
      <c r="FB64" s="3">
        <f t="shared" si="109"/>
        <v>0</v>
      </c>
      <c r="FC64" s="1">
        <f t="shared" si="218"/>
        <v>0.77817539999999996</v>
      </c>
      <c r="FD64" s="5">
        <v>0.7858754</v>
      </c>
      <c r="FE64" s="5">
        <v>8.4616714999999996</v>
      </c>
      <c r="FF64" s="7">
        <f t="shared" si="219"/>
        <v>27.65116175</v>
      </c>
      <c r="FG64" s="1">
        <f t="shared" si="220"/>
        <v>3.8378980499999997</v>
      </c>
      <c r="FH64">
        <v>2.63E-2</v>
      </c>
      <c r="FI64">
        <v>3.4000000000000002E-2</v>
      </c>
      <c r="FJ64">
        <v>4.41E-2</v>
      </c>
      <c r="FK64">
        <v>4.0899999999999999E-2</v>
      </c>
      <c r="FL64" s="1">
        <f t="shared" si="221"/>
        <v>2.5666666666666672E-3</v>
      </c>
      <c r="FM64"/>
      <c r="FN64"/>
      <c r="FO64" s="1"/>
      <c r="FP64" s="3"/>
      <c r="FQ64" s="3"/>
      <c r="FR64" s="3"/>
      <c r="FS64" s="3"/>
      <c r="FT64" s="3"/>
      <c r="FU64" s="3"/>
      <c r="FV64" s="3"/>
      <c r="FW64" s="3"/>
      <c r="FX64" s="3"/>
      <c r="FY64" s="3"/>
      <c r="FZ64" s="3"/>
      <c r="GA64" s="3"/>
      <c r="GB64" s="3"/>
      <c r="GC64" s="3"/>
      <c r="GD64" s="3"/>
      <c r="GE64" s="3"/>
      <c r="GF64" s="3"/>
      <c r="GG64" s="3"/>
      <c r="GH64" s="3"/>
      <c r="GI64" s="3"/>
      <c r="GJ64" s="3"/>
      <c r="GK64" s="3"/>
      <c r="GL64" s="3"/>
      <c r="GM64" s="3"/>
      <c r="GN64" s="3"/>
      <c r="GO64" s="3"/>
      <c r="GP64" s="3"/>
      <c r="GQ64" s="3"/>
      <c r="GR64" s="3"/>
      <c r="GS64" s="3"/>
      <c r="GT64" s="3"/>
      <c r="GU64" s="3"/>
      <c r="GV64" s="3"/>
      <c r="GW64" s="3"/>
      <c r="GX64" s="3"/>
      <c r="GY64" s="3"/>
      <c r="GZ64" s="3"/>
      <c r="HA64" s="3"/>
      <c r="HB64" s="3"/>
      <c r="HC64" s="3"/>
      <c r="HD64" s="3"/>
      <c r="HE64" s="3"/>
      <c r="HF64" s="3"/>
      <c r="HG64" s="3"/>
      <c r="HH64" s="3"/>
      <c r="HI64" s="3"/>
      <c r="HJ64" s="3"/>
      <c r="HK64" s="3"/>
      <c r="HL64" s="3"/>
      <c r="HM64" s="3"/>
      <c r="HN64" s="3"/>
      <c r="HO64" s="3"/>
      <c r="HP64" s="3"/>
      <c r="HQ64" s="3"/>
      <c r="HR64" s="3"/>
      <c r="HS64" s="3"/>
      <c r="HT64" s="3"/>
      <c r="HU64" s="3"/>
      <c r="HV64" s="3"/>
      <c r="HW64" s="3"/>
      <c r="HX64" s="3"/>
      <c r="HY64" s="3"/>
      <c r="HZ64" s="3"/>
      <c r="IA64" s="3"/>
      <c r="IB64" s="3"/>
      <c r="IC64" s="3"/>
      <c r="ID64" s="3"/>
      <c r="IE64" s="3"/>
      <c r="IF64" s="3"/>
      <c r="IG64" s="3"/>
      <c r="IH64" s="3"/>
      <c r="II64" s="3"/>
      <c r="IJ64" s="3"/>
      <c r="IK64" s="3"/>
      <c r="IL64" s="3"/>
      <c r="IM64" s="3"/>
      <c r="IN64" s="3"/>
      <c r="IO64" s="3"/>
      <c r="IP64" s="3"/>
      <c r="IQ64" s="3"/>
      <c r="IR64" s="3"/>
      <c r="IS64" s="3"/>
      <c r="IT64" s="3"/>
      <c r="IU64" s="3"/>
      <c r="IV64" s="3"/>
      <c r="IW64" s="3"/>
      <c r="IX64" s="3"/>
      <c r="IY64" s="3"/>
      <c r="IZ64" s="3"/>
      <c r="JA64" s="3"/>
      <c r="JB64" s="3"/>
      <c r="JC64" s="3"/>
      <c r="JD64" s="3"/>
      <c r="JE64" s="3"/>
      <c r="JF64" s="3"/>
      <c r="JG64" s="3"/>
      <c r="JH64" s="3"/>
      <c r="JI64" s="3"/>
      <c r="JJ64" s="3"/>
      <c r="JK64" s="3"/>
      <c r="JL64" s="3"/>
      <c r="JM64" s="3"/>
      <c r="JN64" s="3"/>
      <c r="JO64" s="3"/>
      <c r="JP64" s="3"/>
      <c r="JQ64" s="3"/>
      <c r="JR64" s="3"/>
      <c r="JS64" s="3"/>
      <c r="JT64" s="3"/>
      <c r="JU64" s="3"/>
      <c r="JV64" s="3"/>
      <c r="JW64" s="3"/>
      <c r="JX64" s="3"/>
      <c r="JY64" s="3"/>
      <c r="JZ64" s="3"/>
      <c r="KA64" s="3"/>
      <c r="KB64" s="3"/>
      <c r="KC64" s="3"/>
      <c r="KD64" s="3"/>
      <c r="KE64" s="3"/>
      <c r="KF64" s="3"/>
      <c r="KG64" s="3"/>
      <c r="KH64" s="3"/>
      <c r="KI64" s="3"/>
      <c r="KJ64" s="3"/>
      <c r="KK64" s="3"/>
      <c r="KL64" s="3"/>
      <c r="KM64" s="3"/>
      <c r="KN64" s="3"/>
      <c r="KO64" s="3"/>
      <c r="KP64" s="3"/>
      <c r="KQ64" s="3"/>
      <c r="KR64" s="3"/>
      <c r="KS64" s="3"/>
      <c r="KT64" s="3"/>
      <c r="KU64" s="3"/>
      <c r="KV64" s="3"/>
      <c r="KW64" s="3"/>
      <c r="KX64" s="3"/>
    </row>
    <row r="65" spans="1:168">
      <c r="A65" t="s">
        <v>112</v>
      </c>
      <c r="B65" s="1" t="s">
        <v>23</v>
      </c>
      <c r="C65" s="1">
        <v>520947</v>
      </c>
      <c r="D65" s="6">
        <f t="shared" ref="D65:D84" si="223">C65+G65*3</f>
        <v>536730.30000000005</v>
      </c>
      <c r="E65" s="6">
        <f t="shared" ref="E65:E84" si="224">C65+G65*5</f>
        <v>547252.5</v>
      </c>
      <c r="F65" s="1">
        <v>573558</v>
      </c>
      <c r="G65" s="1">
        <f t="shared" si="144"/>
        <v>5261.1</v>
      </c>
      <c r="H65" s="1">
        <v>1.31</v>
      </c>
      <c r="I65" s="1">
        <v>1.28</v>
      </c>
      <c r="J65" s="1">
        <v>1.22</v>
      </c>
      <c r="K65">
        <v>226723</v>
      </c>
      <c r="L65">
        <f t="shared" si="24"/>
        <v>0.43521317907579848</v>
      </c>
      <c r="M65" s="1">
        <v>213127</v>
      </c>
      <c r="N65">
        <f t="shared" si="25"/>
        <v>0.37158752907290982</v>
      </c>
      <c r="O65">
        <f t="shared" si="26"/>
        <v>-0.1461942171374534</v>
      </c>
      <c r="P65">
        <f t="shared" si="27"/>
        <v>0.13717376866979311</v>
      </c>
      <c r="Q65">
        <f t="shared" si="28"/>
        <v>0.142353178032953</v>
      </c>
      <c r="R65">
        <f t="shared" si="29"/>
        <v>822.8243737322515</v>
      </c>
      <c r="S65">
        <f t="shared" si="30"/>
        <v>677.54605840019849</v>
      </c>
      <c r="T65">
        <f t="shared" si="31"/>
        <v>559.35142249787407</v>
      </c>
      <c r="U65">
        <v>92297.113769999996</v>
      </c>
      <c r="V65">
        <f t="shared" si="32"/>
        <v>6.060334929776365E-3</v>
      </c>
      <c r="W65">
        <f t="shared" si="33"/>
        <v>398.22861729764031</v>
      </c>
      <c r="X65">
        <v>79429.064259999999</v>
      </c>
      <c r="Y65">
        <f t="shared" si="34"/>
        <v>5.0136385340521488E-3</v>
      </c>
      <c r="Z65" s="1">
        <v>18900</v>
      </c>
      <c r="AA65" s="1">
        <f t="shared" si="35"/>
        <v>3.6280082234853066E-2</v>
      </c>
      <c r="AB65" s="1">
        <v>291101</v>
      </c>
      <c r="AC65" s="1">
        <f t="shared" si="145"/>
        <v>0.5587919692406329</v>
      </c>
      <c r="AD65" s="1">
        <v>61.278341249999997</v>
      </c>
      <c r="AE65" s="1">
        <v>32286</v>
      </c>
      <c r="AF65">
        <f t="shared" si="165"/>
        <v>1.7082539682539684</v>
      </c>
      <c r="AG65">
        <f t="shared" si="166"/>
        <v>0.11090995908636521</v>
      </c>
      <c r="AH65">
        <f t="shared" si="222"/>
        <v>9.1189147395635967E-3</v>
      </c>
      <c r="AI65">
        <v>169562</v>
      </c>
      <c r="AJ65">
        <f t="shared" si="167"/>
        <v>222126.22</v>
      </c>
      <c r="AK65">
        <f t="shared" si="146"/>
        <v>0.41385071794903322</v>
      </c>
      <c r="AL65">
        <f t="shared" si="168"/>
        <v>40.567501634999999</v>
      </c>
      <c r="AM65">
        <f t="shared" si="169"/>
        <v>1.0201533278351545E-2</v>
      </c>
      <c r="AN65">
        <v>210.64</v>
      </c>
      <c r="AO65">
        <f t="shared" si="170"/>
        <v>210640</v>
      </c>
      <c r="AP65">
        <f t="shared" si="171"/>
        <v>269619.20000000001</v>
      </c>
      <c r="AQ65">
        <f t="shared" si="147"/>
        <v>0.49267787721390038</v>
      </c>
      <c r="AR65">
        <f t="shared" si="172"/>
        <v>51.759606732800002</v>
      </c>
      <c r="AS65">
        <f t="shared" si="173"/>
        <v>9.518578449741022E-3</v>
      </c>
      <c r="AT65" s="1">
        <v>23595</v>
      </c>
      <c r="AU65" s="1">
        <f t="shared" si="44"/>
        <v>4.1137949431443728E-2</v>
      </c>
      <c r="AV65" s="1">
        <f t="shared" si="45"/>
        <v>0.13389901282869396</v>
      </c>
      <c r="AW65" s="1">
        <v>267105</v>
      </c>
      <c r="AX65" s="1">
        <f t="shared" si="174"/>
        <v>325868.09999999998</v>
      </c>
      <c r="AY65" s="1">
        <f t="shared" si="148"/>
        <v>0.5681519567332336</v>
      </c>
      <c r="AZ65" s="1">
        <f t="shared" si="47"/>
        <v>1.675039729958968E-2</v>
      </c>
      <c r="BA65" s="1">
        <f t="shared" si="175"/>
        <v>60.4858519474</v>
      </c>
      <c r="BB65" s="1">
        <v>29663</v>
      </c>
      <c r="BC65" s="1">
        <f t="shared" si="176"/>
        <v>36188.86</v>
      </c>
      <c r="BD65" s="1">
        <f t="shared" si="177"/>
        <v>1.5337512184784912</v>
      </c>
      <c r="BE65" s="1">
        <f t="shared" si="178"/>
        <v>0.11105370547163101</v>
      </c>
      <c r="BF65" s="1">
        <f t="shared" si="179"/>
        <v>9.3931380387485101E-3</v>
      </c>
      <c r="BG65" s="3">
        <v>2292</v>
      </c>
      <c r="BH65" s="1">
        <f t="shared" si="53"/>
        <v>4.3996798138774195E-3</v>
      </c>
      <c r="BI65" s="3">
        <v>93186.495999999999</v>
      </c>
      <c r="BJ65" s="1">
        <f t="shared" si="149"/>
        <v>0.17887903375967229</v>
      </c>
      <c r="BK65" s="1">
        <v>101.2013381</v>
      </c>
      <c r="BL65" s="3">
        <v>4792.96</v>
      </c>
      <c r="BM65">
        <f t="shared" si="150"/>
        <v>2.0911692844677137</v>
      </c>
      <c r="BN65">
        <f t="shared" si="151"/>
        <v>5.1434061862353962E-2</v>
      </c>
      <c r="BO65">
        <f t="shared" si="180"/>
        <v>1.7675560137645284E-3</v>
      </c>
      <c r="BP65">
        <v>46504</v>
      </c>
      <c r="BQ65">
        <f t="shared" si="181"/>
        <v>60920.240000000005</v>
      </c>
      <c r="BR65">
        <f t="shared" si="152"/>
        <v>0.1135025169996924</v>
      </c>
      <c r="BS65">
        <f t="shared" si="182"/>
        <v>59.525235619600004</v>
      </c>
      <c r="BT65">
        <f t="shared" si="183"/>
        <v>1.9067966017814329E-3</v>
      </c>
      <c r="BU65">
        <v>79.59</v>
      </c>
      <c r="BV65">
        <f t="shared" si="184"/>
        <v>79590</v>
      </c>
      <c r="BW65">
        <f t="shared" si="185"/>
        <v>101875.2</v>
      </c>
      <c r="BX65">
        <f t="shared" si="154"/>
        <v>0.1861575780832431</v>
      </c>
      <c r="BY65">
        <f t="shared" si="186"/>
        <v>76.247206297600002</v>
      </c>
      <c r="BZ65">
        <f t="shared" si="187"/>
        <v>2.4415003135544746E-3</v>
      </c>
      <c r="CA65" s="1">
        <v>3419</v>
      </c>
      <c r="CB65" s="1">
        <f t="shared" si="61"/>
        <v>5.961036198605895E-3</v>
      </c>
      <c r="CC65" s="1">
        <f t="shared" si="62"/>
        <v>0.3548795482352291</v>
      </c>
      <c r="CD65" s="1">
        <v>117132</v>
      </c>
      <c r="CE65" s="1">
        <f t="shared" si="188"/>
        <v>142901.04</v>
      </c>
      <c r="CF65">
        <f t="shared" si="155"/>
        <v>0.24914836860439574</v>
      </c>
      <c r="CG65">
        <f t="shared" si="64"/>
        <v>0.39283158773728488</v>
      </c>
      <c r="CH65">
        <f t="shared" si="189"/>
        <v>90.917938902799989</v>
      </c>
      <c r="CI65" s="1">
        <v>6680</v>
      </c>
      <c r="CJ65" s="1">
        <f t="shared" si="190"/>
        <v>8149.5999999999995</v>
      </c>
      <c r="CK65">
        <f t="shared" si="191"/>
        <v>2.3836209417958467</v>
      </c>
      <c r="CL65">
        <f t="shared" si="192"/>
        <v>5.702967592118293E-2</v>
      </c>
      <c r="CM65">
        <f t="shared" si="193"/>
        <v>2.7403653405601207E-3</v>
      </c>
      <c r="CN65" s="3">
        <v>26136</v>
      </c>
      <c r="CO65" s="1">
        <f t="shared" si="70"/>
        <v>5.0170170861911098E-2</v>
      </c>
      <c r="CP65" s="3">
        <v>291008158</v>
      </c>
      <c r="CQ65" s="1">
        <f t="shared" si="156"/>
        <v>558.61375149487378</v>
      </c>
      <c r="CR65" s="1">
        <v>108123.0123</v>
      </c>
      <c r="CS65" s="3">
        <v>38905553</v>
      </c>
      <c r="CT65">
        <f t="shared" si="194"/>
        <v>1488.5809993878177</v>
      </c>
      <c r="CU65">
        <f t="shared" si="195"/>
        <v>0.13369231044031418</v>
      </c>
      <c r="CV65">
        <f t="shared" si="196"/>
        <v>5.1664649329685184E-3</v>
      </c>
      <c r="CW65" s="1">
        <v>21342</v>
      </c>
      <c r="CX65" s="1">
        <f t="shared" si="74"/>
        <v>3.7209837540405681E-2</v>
      </c>
      <c r="CY65" s="1">
        <f t="shared" si="75"/>
        <v>-0.25832747026470315</v>
      </c>
      <c r="CZ65" s="1">
        <v>186834787</v>
      </c>
      <c r="DA65" s="1">
        <f t="shared" si="143"/>
        <v>227938440.13999999</v>
      </c>
      <c r="DB65" s="1">
        <f t="shared" si="157"/>
        <v>397.4113169723027</v>
      </c>
      <c r="DC65" s="1">
        <f t="shared" si="76"/>
        <v>-0.28857584348968607</v>
      </c>
      <c r="DD65" s="1">
        <f t="shared" si="197"/>
        <v>93954.54819500001</v>
      </c>
      <c r="DE65" s="1">
        <v>26818917</v>
      </c>
      <c r="DF65" s="1">
        <f t="shared" si="198"/>
        <v>32719078.739999998</v>
      </c>
      <c r="DG65">
        <f t="shared" si="199"/>
        <v>1533.0840005622715</v>
      </c>
      <c r="DH65">
        <f t="shared" si="200"/>
        <v>0.14354348796940047</v>
      </c>
      <c r="DI65">
        <f t="shared" si="201"/>
        <v>4.2298252145014491E-3</v>
      </c>
      <c r="DJ65" s="1">
        <v>412171</v>
      </c>
      <c r="DK65">
        <f t="shared" si="158"/>
        <v>0.79119564946146148</v>
      </c>
      <c r="DL65">
        <v>1889.3069949999999</v>
      </c>
      <c r="DM65" s="1">
        <v>1085307</v>
      </c>
      <c r="DN65" s="3">
        <f t="shared" si="202"/>
        <v>4.1877558890923467E-4</v>
      </c>
      <c r="DO65" s="1">
        <v>1433315</v>
      </c>
      <c r="DP65" s="1">
        <f t="shared" si="203"/>
        <v>1748644.3</v>
      </c>
      <c r="DQ65" s="3">
        <f t="shared" si="159"/>
        <v>3.0487662973927661</v>
      </c>
      <c r="DR65" s="3">
        <f t="shared" si="204"/>
        <v>1905.8896083399998</v>
      </c>
      <c r="DS65" s="3">
        <f t="shared" si="205"/>
        <v>913096.11706790247</v>
      </c>
      <c r="DT65" s="3">
        <f t="shared" si="206"/>
        <v>1.5996552392392727E-3</v>
      </c>
      <c r="DU65" s="3">
        <f t="shared" si="207"/>
        <v>0.84132518915652665</v>
      </c>
      <c r="DV65" s="3">
        <f t="shared" si="208"/>
        <v>504.89696589384749</v>
      </c>
      <c r="DW65" s="3">
        <f t="shared" si="209"/>
        <v>0.10127720012520797</v>
      </c>
      <c r="DX65" s="3">
        <f t="shared" si="210"/>
        <v>291804616.49599999</v>
      </c>
      <c r="DY65" s="3">
        <f t="shared" si="91"/>
        <v>560.1426181473355</v>
      </c>
      <c r="DZ65" s="3">
        <f t="shared" si="211"/>
        <v>291420329</v>
      </c>
      <c r="EA65" s="3">
        <f t="shared" si="212"/>
        <v>283046.46000000002</v>
      </c>
      <c r="EB65" s="3">
        <f t="shared" si="94"/>
        <v>0.52735323494872566</v>
      </c>
      <c r="EC65" s="3">
        <f t="shared" si="213"/>
        <v>371494.40000000002</v>
      </c>
      <c r="ED65" s="3">
        <f t="shared" si="96"/>
        <v>0.67883545529714351</v>
      </c>
      <c r="EE65" s="9">
        <f t="shared" si="214"/>
        <v>230155853.57999998</v>
      </c>
      <c r="EF65" s="13">
        <f t="shared" si="98"/>
        <v>401.27738359503309</v>
      </c>
      <c r="EG65" s="14">
        <f t="shared" si="99"/>
        <v>-0.2836156889431965</v>
      </c>
      <c r="EH65" s="9">
        <f t="shared" si="215"/>
        <v>229687084.44</v>
      </c>
      <c r="EI65" s="1">
        <v>634860</v>
      </c>
      <c r="EJ65" s="10">
        <f t="shared" si="160"/>
        <v>831666.6</v>
      </c>
      <c r="EK65" s="10">
        <f t="shared" si="101"/>
        <v>1.5495055896788386</v>
      </c>
      <c r="EL65" s="10">
        <v>247000</v>
      </c>
      <c r="EM65" s="10">
        <f t="shared" si="161"/>
        <v>316160</v>
      </c>
      <c r="EN65" s="10">
        <f t="shared" si="102"/>
        <v>0.57772234937254741</v>
      </c>
      <c r="EO65" s="10">
        <v>1270928</v>
      </c>
      <c r="EP65" s="11">
        <f t="shared" si="162"/>
        <v>1550532.16</v>
      </c>
      <c r="EQ65" s="11">
        <f t="shared" si="103"/>
        <v>2.7033572193221955</v>
      </c>
      <c r="ER65" s="10">
        <f t="shared" si="104"/>
        <v>4.8305851583735819</v>
      </c>
      <c r="ES65" s="10">
        <f t="shared" si="216"/>
        <v>4.9042641700404852</v>
      </c>
      <c r="ET65" s="12">
        <v>37206</v>
      </c>
      <c r="EU65" s="12">
        <f t="shared" si="163"/>
        <v>48739.86</v>
      </c>
      <c r="EV65" s="12">
        <f t="shared" si="105"/>
        <v>9.0808847572048754E-2</v>
      </c>
      <c r="EW65" s="10">
        <v>0</v>
      </c>
      <c r="EX65" s="10">
        <f t="shared" si="164"/>
        <v>0</v>
      </c>
      <c r="EY65" s="10">
        <f t="shared" si="106"/>
        <v>0</v>
      </c>
      <c r="EZ65" s="3">
        <f t="shared" si="217"/>
        <v>0</v>
      </c>
      <c r="FA65" s="3">
        <f t="shared" si="108"/>
        <v>0</v>
      </c>
      <c r="FB65" s="3">
        <f t="shared" si="109"/>
        <v>9.0808847572048754E-2</v>
      </c>
      <c r="FC65" s="1">
        <f t="shared" si="218"/>
        <v>0.59129999999999994</v>
      </c>
      <c r="FD65">
        <f>5.99/10</f>
        <v>0.59899999999999998</v>
      </c>
      <c r="FE65">
        <f>7</f>
        <v>7</v>
      </c>
      <c r="FF65" s="7">
        <f t="shared" si="219"/>
        <v>23.002499999999998</v>
      </c>
      <c r="FG65" s="1">
        <f t="shared" si="220"/>
        <v>3.2004999999999999</v>
      </c>
      <c r="FH65">
        <v>2.63E-2</v>
      </c>
      <c r="FI65">
        <v>3.4000000000000002E-2</v>
      </c>
      <c r="FJ65">
        <v>4.41E-2</v>
      </c>
      <c r="FK65">
        <v>4.0899999999999999E-2</v>
      </c>
      <c r="FL65" s="1">
        <f t="shared" si="221"/>
        <v>2.5666666666666672E-3</v>
      </c>
    </row>
    <row r="66" spans="1:168">
      <c r="A66" t="s">
        <v>117</v>
      </c>
      <c r="B66" s="1" t="s">
        <v>46</v>
      </c>
      <c r="C66" s="1">
        <v>90936</v>
      </c>
      <c r="D66" s="6">
        <f t="shared" si="223"/>
        <v>92349.3</v>
      </c>
      <c r="E66" s="6">
        <f t="shared" si="224"/>
        <v>93291.5</v>
      </c>
      <c r="F66" s="1">
        <v>95647</v>
      </c>
      <c r="G66" s="1">
        <f t="shared" si="144"/>
        <v>471.1</v>
      </c>
      <c r="H66" s="1">
        <v>1.31</v>
      </c>
      <c r="I66" s="1">
        <v>1.28</v>
      </c>
      <c r="J66" s="1">
        <v>1.22</v>
      </c>
      <c r="K66">
        <v>36926</v>
      </c>
      <c r="L66">
        <f t="shared" si="24"/>
        <v>0.40606580452186153</v>
      </c>
      <c r="M66" s="1">
        <v>32981</v>
      </c>
      <c r="N66">
        <f t="shared" si="25"/>
        <v>0.34482001526446204</v>
      </c>
      <c r="O66">
        <f t="shared" si="26"/>
        <v>-0.1508272515818361</v>
      </c>
      <c r="P66">
        <f t="shared" si="27"/>
        <v>0.15640515639668584</v>
      </c>
      <c r="Q66">
        <f t="shared" si="28"/>
        <v>0.13195947083791154</v>
      </c>
      <c r="R66">
        <f t="shared" si="29"/>
        <v>1084.2801078686493</v>
      </c>
      <c r="S66">
        <f t="shared" si="30"/>
        <v>1193.1662729179352</v>
      </c>
      <c r="T66">
        <f t="shared" si="31"/>
        <v>1233.2005534441805</v>
      </c>
      <c r="U66">
        <v>92297.113769999996</v>
      </c>
      <c r="V66">
        <f t="shared" si="32"/>
        <v>1.3361203867298142E-2</v>
      </c>
      <c r="W66">
        <f t="shared" si="33"/>
        <v>1357.199840036802</v>
      </c>
      <c r="X66">
        <v>79429.064259999999</v>
      </c>
      <c r="Y66">
        <f t="shared" si="34"/>
        <v>1.7086942326227046E-2</v>
      </c>
      <c r="Z66" s="1">
        <v>3211</v>
      </c>
      <c r="AA66" s="1">
        <f t="shared" si="35"/>
        <v>3.5310548077768983E-2</v>
      </c>
      <c r="AB66" s="1">
        <v>38839</v>
      </c>
      <c r="AC66" s="1">
        <f t="shared" si="145"/>
        <v>0.42710257763701942</v>
      </c>
      <c r="AD66" s="1">
        <v>61.278341249999997</v>
      </c>
      <c r="AE66" s="1">
        <v>4316</v>
      </c>
      <c r="AF66">
        <f t="shared" si="165"/>
        <v>1.3441295546558705</v>
      </c>
      <c r="AG66">
        <f t="shared" si="166"/>
        <v>0.11112541517546795</v>
      </c>
      <c r="AH66">
        <f t="shared" si="222"/>
        <v>6.9698782461253299E-3</v>
      </c>
      <c r="AI66">
        <v>18048</v>
      </c>
      <c r="AJ66">
        <f t="shared" si="167"/>
        <v>23642.880000000001</v>
      </c>
      <c r="AK66">
        <f t="shared" si="146"/>
        <v>0.25601580087775433</v>
      </c>
      <c r="AL66">
        <f t="shared" si="168"/>
        <v>40.567501634999999</v>
      </c>
      <c r="AM66">
        <f t="shared" si="169"/>
        <v>6.3108594456029862E-3</v>
      </c>
      <c r="AN66">
        <v>28.29</v>
      </c>
      <c r="AO66">
        <f t="shared" si="170"/>
        <v>28290</v>
      </c>
      <c r="AP66">
        <f t="shared" si="171"/>
        <v>36211.200000000004</v>
      </c>
      <c r="AQ66">
        <f t="shared" si="147"/>
        <v>0.38815111773312688</v>
      </c>
      <c r="AR66">
        <f t="shared" si="172"/>
        <v>51.759606732800002</v>
      </c>
      <c r="AS66">
        <f t="shared" si="173"/>
        <v>7.4991125751184655E-3</v>
      </c>
      <c r="AT66" s="1">
        <v>3875</v>
      </c>
      <c r="AU66" s="1">
        <f t="shared" si="44"/>
        <v>4.0513555051386874E-2</v>
      </c>
      <c r="AV66" s="1">
        <f t="shared" si="45"/>
        <v>0.14734993527029477</v>
      </c>
      <c r="AW66" s="1">
        <v>33478</v>
      </c>
      <c r="AX66" s="1">
        <f t="shared" si="174"/>
        <v>40843.159999999996</v>
      </c>
      <c r="AY66" s="1">
        <f t="shared" si="148"/>
        <v>0.42701977061486501</v>
      </c>
      <c r="AZ66" s="1">
        <f t="shared" si="47"/>
        <v>-1.9388087660941839E-4</v>
      </c>
      <c r="BA66" s="1">
        <f t="shared" si="175"/>
        <v>60.4858519474</v>
      </c>
      <c r="BB66" s="1">
        <v>3732</v>
      </c>
      <c r="BC66" s="1">
        <f t="shared" si="176"/>
        <v>4553.04</v>
      </c>
      <c r="BD66" s="1">
        <f t="shared" si="177"/>
        <v>1.174978064516129</v>
      </c>
      <c r="BE66" s="1">
        <f t="shared" si="178"/>
        <v>0.11147619332098693</v>
      </c>
      <c r="BF66" s="1">
        <f t="shared" si="179"/>
        <v>7.0598289825893829E-3</v>
      </c>
      <c r="BG66" s="1">
        <v>492</v>
      </c>
      <c r="BH66" s="1">
        <f t="shared" si="53"/>
        <v>5.4103985220374769E-3</v>
      </c>
      <c r="BI66" s="1">
        <v>9830.5280000000002</v>
      </c>
      <c r="BJ66" s="1">
        <f t="shared" si="149"/>
        <v>0.10810380927245536</v>
      </c>
      <c r="BK66" s="1">
        <v>101.2013381</v>
      </c>
      <c r="BL66" s="1">
        <v>676.94100000000003</v>
      </c>
      <c r="BM66">
        <f t="shared" si="150"/>
        <v>1.3758963414634147</v>
      </c>
      <c r="BN66">
        <f t="shared" si="151"/>
        <v>6.8861102882774972E-2</v>
      </c>
      <c r="BO66">
        <f t="shared" si="180"/>
        <v>1.0682053350483847E-3</v>
      </c>
      <c r="BP66">
        <v>6995</v>
      </c>
      <c r="BQ66">
        <f t="shared" si="181"/>
        <v>9163.4500000000007</v>
      </c>
      <c r="BR66">
        <f t="shared" si="152"/>
        <v>9.9225982221846837E-2</v>
      </c>
      <c r="BS66">
        <f t="shared" si="182"/>
        <v>59.525235619600004</v>
      </c>
      <c r="BT66">
        <f t="shared" si="183"/>
        <v>1.6669565636994216E-3</v>
      </c>
      <c r="BU66">
        <v>12.6</v>
      </c>
      <c r="BV66">
        <f t="shared" si="184"/>
        <v>12600</v>
      </c>
      <c r="BW66">
        <f t="shared" si="185"/>
        <v>16128</v>
      </c>
      <c r="BX66">
        <f t="shared" si="154"/>
        <v>0.17287748615897483</v>
      </c>
      <c r="BY66">
        <f t="shared" si="186"/>
        <v>76.247206297600002</v>
      </c>
      <c r="BZ66">
        <f t="shared" si="187"/>
        <v>2.2673287921424661E-3</v>
      </c>
      <c r="CA66" s="1">
        <v>581</v>
      </c>
      <c r="CB66" s="1">
        <f t="shared" si="61"/>
        <v>6.0744194799627798E-3</v>
      </c>
      <c r="CC66" s="1">
        <f t="shared" si="62"/>
        <v>0.12273050778434012</v>
      </c>
      <c r="CD66" s="1">
        <v>11268</v>
      </c>
      <c r="CE66" s="1">
        <f t="shared" si="188"/>
        <v>13746.96</v>
      </c>
      <c r="CF66">
        <f t="shared" si="155"/>
        <v>0.14372599245140985</v>
      </c>
      <c r="CG66">
        <f t="shared" si="64"/>
        <v>0.32951829744662803</v>
      </c>
      <c r="CH66">
        <f t="shared" si="189"/>
        <v>90.917938902799989</v>
      </c>
      <c r="CI66" s="1">
        <v>808</v>
      </c>
      <c r="CJ66" s="1">
        <f t="shared" si="190"/>
        <v>985.76</v>
      </c>
      <c r="CK66">
        <f t="shared" si="191"/>
        <v>1.6966609294320139</v>
      </c>
      <c r="CL66">
        <f t="shared" si="192"/>
        <v>7.1707490237841676E-2</v>
      </c>
      <c r="CM66">
        <f t="shared" si="193"/>
        <v>1.5808320578523756E-3</v>
      </c>
      <c r="CN66" s="1">
        <v>12437</v>
      </c>
      <c r="CO66" s="1">
        <f t="shared" si="70"/>
        <v>0.13676651711093515</v>
      </c>
      <c r="CP66" s="1">
        <v>112093656</v>
      </c>
      <c r="CQ66" s="1">
        <f t="shared" si="156"/>
        <v>1232.665347057271</v>
      </c>
      <c r="CR66" s="1">
        <v>108123.0123</v>
      </c>
      <c r="CS66" s="1">
        <v>17495288</v>
      </c>
      <c r="CT66">
        <f t="shared" si="194"/>
        <v>1406.7128728793118</v>
      </c>
      <c r="CU66">
        <f t="shared" si="195"/>
        <v>0.15607741440782341</v>
      </c>
      <c r="CV66">
        <f t="shared" si="196"/>
        <v>1.1400582732906998E-2</v>
      </c>
      <c r="CW66" s="1">
        <v>10325</v>
      </c>
      <c r="CX66" s="1">
        <f t="shared" si="74"/>
        <v>0.10794902087885663</v>
      </c>
      <c r="CY66" s="1">
        <f t="shared" si="75"/>
        <v>-0.2107057841408935</v>
      </c>
      <c r="CZ66" s="1">
        <v>106358609</v>
      </c>
      <c r="DA66" s="1">
        <f t="shared" si="143"/>
        <v>129757502.98</v>
      </c>
      <c r="DB66" s="1">
        <f t="shared" si="157"/>
        <v>1356.6290942737357</v>
      </c>
      <c r="DC66" s="1">
        <f t="shared" si="76"/>
        <v>0.10056561378349939</v>
      </c>
      <c r="DD66" s="1">
        <f t="shared" si="197"/>
        <v>93954.54819500001</v>
      </c>
      <c r="DE66" s="1">
        <v>14451354</v>
      </c>
      <c r="DF66" s="1">
        <f t="shared" si="198"/>
        <v>17630651.879999999</v>
      </c>
      <c r="DG66">
        <f t="shared" si="199"/>
        <v>1707.569189346247</v>
      </c>
      <c r="DH66">
        <f t="shared" si="200"/>
        <v>0.13587385295721571</v>
      </c>
      <c r="DI66">
        <f t="shared" si="201"/>
        <v>1.4439206194234369E-2</v>
      </c>
      <c r="DJ66" s="1">
        <v>2936412</v>
      </c>
      <c r="DK66">
        <f t="shared" si="158"/>
        <v>32.290973871733968</v>
      </c>
      <c r="DL66">
        <v>1889.3069949999999</v>
      </c>
      <c r="DM66" s="1">
        <v>498627</v>
      </c>
      <c r="DN66" s="3">
        <f t="shared" si="202"/>
        <v>1.7091438266619009E-2</v>
      </c>
      <c r="DO66" s="1">
        <v>3144629</v>
      </c>
      <c r="DP66" s="1">
        <f t="shared" si="203"/>
        <v>3836447.38</v>
      </c>
      <c r="DQ66" s="3">
        <f t="shared" si="159"/>
        <v>40.110483130678432</v>
      </c>
      <c r="DR66" s="3">
        <f t="shared" si="204"/>
        <v>1905.8896083399998</v>
      </c>
      <c r="DS66" s="3">
        <f t="shared" si="205"/>
        <v>502499.41014340427</v>
      </c>
      <c r="DT66" s="3">
        <f t="shared" si="206"/>
        <v>2.1045543747737854E-2</v>
      </c>
      <c r="DU66" s="3">
        <f t="shared" si="207"/>
        <v>1.0077661461240652</v>
      </c>
      <c r="DV66" s="3">
        <f t="shared" si="208"/>
        <v>519.97895451927093</v>
      </c>
      <c r="DW66" s="3">
        <f t="shared" si="209"/>
        <v>0.10918691149701844</v>
      </c>
      <c r="DX66" s="3">
        <f t="shared" si="210"/>
        <v>115078737.528</v>
      </c>
      <c r="DY66" s="3">
        <f t="shared" si="91"/>
        <v>1265.4915273159145</v>
      </c>
      <c r="DZ66" s="3">
        <f t="shared" si="211"/>
        <v>115030068</v>
      </c>
      <c r="EA66" s="3">
        <f t="shared" si="212"/>
        <v>32806.33</v>
      </c>
      <c r="EB66" s="3">
        <f t="shared" si="94"/>
        <v>0.35524178309960119</v>
      </c>
      <c r="EC66" s="3">
        <f t="shared" si="213"/>
        <v>52339.200000000004</v>
      </c>
      <c r="ED66" s="3">
        <f t="shared" si="96"/>
        <v>0.56102860389210174</v>
      </c>
      <c r="EE66" s="9">
        <f t="shared" si="214"/>
        <v>133648540.48</v>
      </c>
      <c r="EF66" s="13">
        <f t="shared" si="98"/>
        <v>1397.3103231674804</v>
      </c>
      <c r="EG66" s="14">
        <f t="shared" si="99"/>
        <v>0.10416410778438898</v>
      </c>
      <c r="EH66" s="9">
        <f t="shared" si="215"/>
        <v>133593950.36</v>
      </c>
      <c r="EI66" s="10">
        <v>234699</v>
      </c>
      <c r="EJ66" s="10">
        <f t="shared" si="160"/>
        <v>307455.69</v>
      </c>
      <c r="EK66" s="10">
        <f t="shared" si="101"/>
        <v>3.3292693068599326</v>
      </c>
      <c r="EL66" s="10">
        <v>323000</v>
      </c>
      <c r="EM66" s="10">
        <f t="shared" si="161"/>
        <v>413440</v>
      </c>
      <c r="EN66" s="10">
        <f t="shared" si="102"/>
        <v>4.4317006372499099</v>
      </c>
      <c r="EO66" s="11">
        <v>927687</v>
      </c>
      <c r="EP66" s="11">
        <f t="shared" si="162"/>
        <v>1131778.1399999999</v>
      </c>
      <c r="EQ66" s="11">
        <f t="shared" si="103"/>
        <v>11.832866059573222</v>
      </c>
      <c r="ER66" s="10">
        <f t="shared" si="104"/>
        <v>19.593836003683066</v>
      </c>
      <c r="ES66" s="10">
        <f t="shared" si="216"/>
        <v>2.7374664763931884</v>
      </c>
      <c r="ET66" s="12">
        <v>902328</v>
      </c>
      <c r="EU66" s="12">
        <f t="shared" si="163"/>
        <v>1182049.68</v>
      </c>
      <c r="EV66" s="12">
        <f t="shared" si="105"/>
        <v>12.799768704256556</v>
      </c>
      <c r="EW66" s="10">
        <v>384000</v>
      </c>
      <c r="EX66" s="10">
        <f t="shared" si="164"/>
        <v>491520</v>
      </c>
      <c r="EY66" s="10">
        <f t="shared" si="106"/>
        <v>5.2686471972258992</v>
      </c>
      <c r="EZ66" s="3">
        <f t="shared" si="217"/>
        <v>1051187.1269349842</v>
      </c>
      <c r="FA66" s="3">
        <f t="shared" si="108"/>
        <v>10.990278073907014</v>
      </c>
      <c r="FB66" s="3">
        <f t="shared" si="109"/>
        <v>29.058693975389467</v>
      </c>
      <c r="FC66" s="1">
        <f t="shared" si="218"/>
        <v>0.20929999999999999</v>
      </c>
      <c r="FD66">
        <f>2.17/10</f>
        <v>0.217</v>
      </c>
      <c r="FE66">
        <f>3.4</f>
        <v>3.4</v>
      </c>
      <c r="FF66" s="7">
        <f t="shared" si="219"/>
        <v>11.3575</v>
      </c>
      <c r="FG66" s="1">
        <f t="shared" si="220"/>
        <v>1.5914999999999999</v>
      </c>
      <c r="FH66">
        <v>2.63E-2</v>
      </c>
      <c r="FI66">
        <v>3.4000000000000002E-2</v>
      </c>
      <c r="FJ66">
        <v>4.41E-2</v>
      </c>
      <c r="FK66">
        <v>4.0899999999999999E-2</v>
      </c>
      <c r="FL66" s="1">
        <f t="shared" si="221"/>
        <v>2.5666666666666672E-3</v>
      </c>
    </row>
    <row r="67" spans="1:168">
      <c r="A67" t="s">
        <v>117</v>
      </c>
      <c r="B67" s="1" t="s">
        <v>47</v>
      </c>
      <c r="C67" s="1">
        <v>1201455</v>
      </c>
      <c r="D67" s="6">
        <f t="shared" si="223"/>
        <v>1206193.5</v>
      </c>
      <c r="E67" s="6">
        <f t="shared" si="224"/>
        <v>1209352.5</v>
      </c>
      <c r="F67" s="1">
        <v>1217250</v>
      </c>
      <c r="G67" s="1">
        <f t="shared" si="144"/>
        <v>1579.5</v>
      </c>
      <c r="H67" s="1">
        <v>1.31</v>
      </c>
      <c r="I67" s="1">
        <v>1.28</v>
      </c>
      <c r="J67" s="1">
        <v>1.22</v>
      </c>
      <c r="K67">
        <v>516549</v>
      </c>
      <c r="L67">
        <f t="shared" ref="L67:L107" si="225">K67/C67</f>
        <v>0.42993620235464497</v>
      </c>
      <c r="M67" s="1">
        <v>453649</v>
      </c>
      <c r="N67">
        <f t="shared" ref="N67:N107" si="226">M67/F67</f>
        <v>0.37268350790716781</v>
      </c>
      <c r="O67">
        <f t="shared" ref="O67:O107" si="227">(N67-L67)/L67</f>
        <v>-0.13316555836405389</v>
      </c>
      <c r="P67">
        <f t="shared" ref="P67:P107" si="228">SUM(AE67,BL67,CS67,DM67)/DX67</f>
        <v>0.18575306867782773</v>
      </c>
      <c r="Q67">
        <f t="shared" ref="Q67:Q107" si="229">SUM(BC67,CJ67,DF67)/EE67</f>
        <v>0.17835523684762325</v>
      </c>
      <c r="R67">
        <f t="shared" ref="R67:R107" si="230">SUM(AE67,BL67,CS67)/SUM(Z67,BG67,CN67)</f>
        <v>1056.0864455477072</v>
      </c>
      <c r="S67">
        <f t="shared" ref="S67:S107" si="231">SUM(BC67,CJ67,DF67)/SUM(AT67,CA67,CW67)</f>
        <v>1046.7503490377087</v>
      </c>
      <c r="T67">
        <f t="shared" ref="T67:T107" si="232">SUM(AC67,BJ67,CQ67)</f>
        <v>1132.8848781510751</v>
      </c>
      <c r="U67">
        <v>92297.113769999996</v>
      </c>
      <c r="V67">
        <f t="shared" ref="V67:V107" si="233">T67/U67</f>
        <v>1.2274326161207707E-2</v>
      </c>
      <c r="W67">
        <f t="shared" ref="W67:W107" si="234">SUM(AY67,CF67,DB67)</f>
        <v>1000.4247658246046</v>
      </c>
      <c r="X67">
        <v>79429.064259999999</v>
      </c>
      <c r="Y67">
        <f t="shared" ref="Y67:Y107" si="235">W67/X67</f>
        <v>1.2595197679149954E-2</v>
      </c>
      <c r="Z67" s="1">
        <v>51808</v>
      </c>
      <c r="AA67" s="1">
        <f t="shared" ref="AA67:AA107" si="236">Z67/C67</f>
        <v>4.312104906134645E-2</v>
      </c>
      <c r="AB67" s="1">
        <v>612630</v>
      </c>
      <c r="AC67" s="1">
        <f t="shared" si="145"/>
        <v>0.50990673808007791</v>
      </c>
      <c r="AD67" s="1">
        <v>61.278341249999997</v>
      </c>
      <c r="AE67" s="1">
        <v>76900</v>
      </c>
      <c r="AF67">
        <f t="shared" si="165"/>
        <v>1.4843267449042619</v>
      </c>
      <c r="AG67">
        <f t="shared" si="166"/>
        <v>0.12552437849925729</v>
      </c>
      <c r="AH67">
        <f t="shared" si="222"/>
        <v>8.3211576501359356E-3</v>
      </c>
      <c r="AI67">
        <v>321441</v>
      </c>
      <c r="AJ67">
        <f t="shared" si="167"/>
        <v>421087.71</v>
      </c>
      <c r="AK67">
        <f t="shared" si="146"/>
        <v>0.34910460883763678</v>
      </c>
      <c r="AL67">
        <f t="shared" si="168"/>
        <v>40.567501634999999</v>
      </c>
      <c r="AM67">
        <f t="shared" si="169"/>
        <v>8.6055239974759355E-3</v>
      </c>
      <c r="AN67">
        <v>412.11</v>
      </c>
      <c r="AO67">
        <f t="shared" si="170"/>
        <v>412110</v>
      </c>
      <c r="AP67">
        <f t="shared" si="171"/>
        <v>527500.80000000005</v>
      </c>
      <c r="AQ67">
        <f t="shared" si="147"/>
        <v>0.43618448715324942</v>
      </c>
      <c r="AR67">
        <f t="shared" si="172"/>
        <v>51.759606732800002</v>
      </c>
      <c r="AS67">
        <f t="shared" si="173"/>
        <v>8.427121353625739E-3</v>
      </c>
      <c r="AT67" s="1">
        <v>58367</v>
      </c>
      <c r="AU67" s="1">
        <f t="shared" ref="AU67:AU107" si="237">AT67/F67</f>
        <v>4.7949887040460056E-2</v>
      </c>
      <c r="AV67" s="1">
        <f t="shared" ref="AV67:AV107" si="238">(AU67-AA67)/AA67</f>
        <v>0.11198331404794504</v>
      </c>
      <c r="AW67" s="1">
        <v>506426</v>
      </c>
      <c r="AX67" s="1">
        <f t="shared" si="174"/>
        <v>617839.72</v>
      </c>
      <c r="AY67" s="1">
        <f t="shared" si="148"/>
        <v>0.50757011295953991</v>
      </c>
      <c r="AZ67" s="1">
        <f t="shared" ref="AZ67:AZ107" si="239">(AY67-AC67)/AC67</f>
        <v>-4.5824558611168064E-3</v>
      </c>
      <c r="BA67" s="1">
        <f t="shared" si="175"/>
        <v>60.4858519474</v>
      </c>
      <c r="BB67" s="1">
        <v>65452</v>
      </c>
      <c r="BC67" s="1">
        <f t="shared" si="176"/>
        <v>79851.44</v>
      </c>
      <c r="BD67" s="1">
        <f t="shared" si="177"/>
        <v>1.3680922439049463</v>
      </c>
      <c r="BE67" s="1">
        <f t="shared" si="178"/>
        <v>0.1292429693578134</v>
      </c>
      <c r="BF67" s="1">
        <f t="shared" si="179"/>
        <v>8.3915510258652792E-3</v>
      </c>
      <c r="BG67" s="1">
        <v>25622</v>
      </c>
      <c r="BH67" s="1">
        <f t="shared" ref="BH67:BH107" si="240">BG67/C67</f>
        <v>2.1325809123104902E-2</v>
      </c>
      <c r="BI67" s="1">
        <v>1175022.2790000001</v>
      </c>
      <c r="BJ67" s="1">
        <f t="shared" si="149"/>
        <v>0.97799940821753628</v>
      </c>
      <c r="BK67" s="1">
        <v>101.2013381</v>
      </c>
      <c r="BL67" s="1">
        <v>53336.341999999997</v>
      </c>
      <c r="BM67">
        <f t="shared" si="150"/>
        <v>2.0816619311529152</v>
      </c>
      <c r="BN67">
        <f t="shared" si="151"/>
        <v>4.5391770822755605E-2</v>
      </c>
      <c r="BO67">
        <f t="shared" si="180"/>
        <v>9.6638979936327172E-3</v>
      </c>
      <c r="BP67">
        <v>537808</v>
      </c>
      <c r="BQ67">
        <f t="shared" si="181"/>
        <v>704528.48</v>
      </c>
      <c r="BR67">
        <f t="shared" si="152"/>
        <v>0.58409241966566727</v>
      </c>
      <c r="BS67">
        <f t="shared" si="182"/>
        <v>59.525235619600004</v>
      </c>
      <c r="BT67">
        <f t="shared" si="183"/>
        <v>9.8125175580714864E-3</v>
      </c>
      <c r="BU67">
        <v>690.36</v>
      </c>
      <c r="BV67">
        <f t="shared" si="184"/>
        <v>690360</v>
      </c>
      <c r="BW67">
        <f t="shared" si="185"/>
        <v>883660.80000000005</v>
      </c>
      <c r="BX67">
        <f t="shared" si="154"/>
        <v>0.73068919111673403</v>
      </c>
      <c r="BY67">
        <f t="shared" si="186"/>
        <v>76.247206297600002</v>
      </c>
      <c r="BZ67">
        <f t="shared" si="187"/>
        <v>9.5831601785485165E-3</v>
      </c>
      <c r="CA67" s="1">
        <v>23958</v>
      </c>
      <c r="CB67" s="1">
        <f t="shared" ref="CB67:CB106" si="241">CA67/F67</f>
        <v>1.9682070240295748E-2</v>
      </c>
      <c r="CC67" s="1">
        <f t="shared" ref="CC67:CC106" si="242">(CB67-BH67)/BH67</f>
        <v>-7.7077445142669287E-2</v>
      </c>
      <c r="CD67" s="1">
        <v>959724</v>
      </c>
      <c r="CE67" s="1">
        <f t="shared" si="188"/>
        <v>1170863.28</v>
      </c>
      <c r="CF67">
        <f t="shared" si="155"/>
        <v>0.96189219963031425</v>
      </c>
      <c r="CG67">
        <f t="shared" ref="CG67:CG107" si="243">(CF67-BJ67)/BJ67</f>
        <v>-1.6469548398376239E-2</v>
      </c>
      <c r="CH67">
        <f t="shared" si="189"/>
        <v>90.917938902799989</v>
      </c>
      <c r="CI67" s="1">
        <v>47785</v>
      </c>
      <c r="CJ67" s="1">
        <f t="shared" si="190"/>
        <v>58297.7</v>
      </c>
      <c r="CK67">
        <f t="shared" si="191"/>
        <v>2.4333291593622173</v>
      </c>
      <c r="CL67">
        <f t="shared" si="192"/>
        <v>4.9790356394129973E-2</v>
      </c>
      <c r="CM67">
        <f t="shared" si="193"/>
        <v>1.0579784487400989E-2</v>
      </c>
      <c r="CN67" s="1">
        <v>161256</v>
      </c>
      <c r="CO67" s="1">
        <f t="shared" ref="CO67:CO107" si="244">CN67/C67</f>
        <v>0.13421726157034597</v>
      </c>
      <c r="CP67" s="1">
        <v>1359322549</v>
      </c>
      <c r="CQ67" s="1">
        <f t="shared" si="156"/>
        <v>1131.3969720047776</v>
      </c>
      <c r="CR67" s="1">
        <v>108123.0123</v>
      </c>
      <c r="CS67" s="1">
        <v>251942813</v>
      </c>
      <c r="CT67">
        <f t="shared" si="194"/>
        <v>1562.3779146202312</v>
      </c>
      <c r="CU67">
        <f t="shared" si="195"/>
        <v>0.18534439319449558</v>
      </c>
      <c r="CV67">
        <f t="shared" si="196"/>
        <v>1.046397938734433E-2</v>
      </c>
      <c r="CW67" s="1">
        <v>125876</v>
      </c>
      <c r="CX67" s="1">
        <f t="shared" ref="CX67:CX107" si="245">CW67/F67</f>
        <v>0.10341014582049703</v>
      </c>
      <c r="CY67" s="1">
        <f t="shared" ref="CY67:CY107" si="246">(CX67-CO67)/CO67</f>
        <v>-0.22953169651507391</v>
      </c>
      <c r="CZ67" s="1">
        <v>996703560</v>
      </c>
      <c r="DA67" s="1">
        <f t="shared" si="143"/>
        <v>1215978343.2</v>
      </c>
      <c r="DB67" s="1">
        <f t="shared" si="157"/>
        <v>998.95530351201478</v>
      </c>
      <c r="DC67" s="1">
        <f t="shared" ref="DC67:DC107" si="247">(DB67-CQ67)/CQ67</f>
        <v>-0.11706029958528433</v>
      </c>
      <c r="DD67" s="1">
        <f t="shared" si="197"/>
        <v>93954.54819500001</v>
      </c>
      <c r="DE67" s="1">
        <v>178521574</v>
      </c>
      <c r="DF67" s="1">
        <f t="shared" si="198"/>
        <v>217796320.28</v>
      </c>
      <c r="DG67">
        <f t="shared" si="199"/>
        <v>1730.2450052432553</v>
      </c>
      <c r="DH67">
        <f t="shared" si="200"/>
        <v>0.179112005980996</v>
      </c>
      <c r="DI67">
        <f t="shared" si="201"/>
        <v>1.0632325126386764E-2</v>
      </c>
      <c r="DJ67" s="1">
        <v>1515467</v>
      </c>
      <c r="DK67">
        <f t="shared" si="158"/>
        <v>1.2613597679480297</v>
      </c>
      <c r="DL67">
        <v>1889.3069949999999</v>
      </c>
      <c r="DM67" s="1">
        <v>1038850</v>
      </c>
      <c r="DN67" s="3">
        <f t="shared" si="202"/>
        <v>6.6763092037778104E-4</v>
      </c>
      <c r="DO67" s="1">
        <v>3397803</v>
      </c>
      <c r="DP67" s="1">
        <f t="shared" si="203"/>
        <v>4145319.6599999997</v>
      </c>
      <c r="DQ67" s="3">
        <f t="shared" si="159"/>
        <v>3.4054792852741835</v>
      </c>
      <c r="DR67" s="3">
        <f t="shared" si="204"/>
        <v>1905.8896083399998</v>
      </c>
      <c r="DS67" s="3">
        <f t="shared" si="205"/>
        <v>898157.1974788832</v>
      </c>
      <c r="DT67" s="3">
        <f t="shared" si="206"/>
        <v>1.7868187487733369E-3</v>
      </c>
      <c r="DU67" s="3">
        <f t="shared" si="207"/>
        <v>0.86456870335359604</v>
      </c>
      <c r="DV67" s="3">
        <f t="shared" si="208"/>
        <v>549.99838832380181</v>
      </c>
      <c r="DW67" s="3">
        <f t="shared" si="209"/>
        <v>0.11906764570824131</v>
      </c>
      <c r="DX67" s="3">
        <f t="shared" si="210"/>
        <v>1362625668.279</v>
      </c>
      <c r="DY67" s="3">
        <f t="shared" ref="DY67:DY107" si="248">DX67/C67</f>
        <v>1134.1462379190232</v>
      </c>
      <c r="DZ67" s="3">
        <f t="shared" si="211"/>
        <v>1360838016</v>
      </c>
      <c r="EA67" s="3">
        <f t="shared" si="212"/>
        <v>1125616.19</v>
      </c>
      <c r="EB67" s="3">
        <f t="shared" ref="EB67:EB107" si="249">EA67/D67</f>
        <v>0.93319702850330399</v>
      </c>
      <c r="EC67" s="3">
        <f t="shared" si="213"/>
        <v>1411161.6</v>
      </c>
      <c r="ED67" s="3">
        <f t="shared" ref="ED67:ED107" si="250">EC67/E67</f>
        <v>1.1668736782699833</v>
      </c>
      <c r="EE67" s="9">
        <f t="shared" si="214"/>
        <v>1221912365.8600001</v>
      </c>
      <c r="EF67" s="13">
        <f t="shared" ref="EF67:EF107" si="251">EE67/F67</f>
        <v>1003.8302451098789</v>
      </c>
      <c r="EG67" s="14">
        <f t="shared" ref="EG67:EG107" si="252">(EF67-DY67)/DY67</f>
        <v>-0.11490228371982548</v>
      </c>
      <c r="EH67" s="9">
        <f t="shared" si="215"/>
        <v>1220123662.8600001</v>
      </c>
      <c r="EI67" s="10">
        <v>2890099</v>
      </c>
      <c r="EJ67" s="10">
        <f t="shared" si="160"/>
        <v>3786029.69</v>
      </c>
      <c r="EK67" s="10">
        <f t="shared" ref="EK67:EK107" si="253">EJ67/D67</f>
        <v>3.1388244837996555</v>
      </c>
      <c r="EL67" s="10">
        <v>3658000</v>
      </c>
      <c r="EM67" s="10">
        <f t="shared" si="161"/>
        <v>4682240</v>
      </c>
      <c r="EN67" s="10">
        <f t="shared" ref="EN67:EN107" si="254">EM67/E67</f>
        <v>3.871691669715819</v>
      </c>
      <c r="EO67" s="11">
        <v>20779729</v>
      </c>
      <c r="EP67" s="11">
        <f t="shared" si="162"/>
        <v>25351269.379999999</v>
      </c>
      <c r="EQ67" s="11">
        <f t="shared" ref="EQ67:EQ107" si="255">EP67/F67</f>
        <v>20.826674372561101</v>
      </c>
      <c r="ER67" s="10">
        <f t="shared" ref="ER67:ER109" si="256">EK67+EN67+EQ67</f>
        <v>27.837190526076576</v>
      </c>
      <c r="ES67" s="10">
        <f t="shared" si="216"/>
        <v>5.4143464196623832</v>
      </c>
      <c r="ET67" s="12">
        <v>31134</v>
      </c>
      <c r="EU67" s="12">
        <f t="shared" si="163"/>
        <v>40785.54</v>
      </c>
      <c r="EV67" s="12">
        <f t="shared" ref="EV67:EV107" si="257">EU67/D67</f>
        <v>3.38134304321819E-2</v>
      </c>
      <c r="EW67" s="10">
        <v>4000</v>
      </c>
      <c r="EX67" s="10">
        <f t="shared" si="164"/>
        <v>5120</v>
      </c>
      <c r="EY67" s="10">
        <f t="shared" ref="EY67:EY107" si="258">EX67/E67</f>
        <v>4.2336704972288893E-3</v>
      </c>
      <c r="EZ67" s="3">
        <f t="shared" si="217"/>
        <v>21657.385678649534</v>
      </c>
      <c r="FA67" s="3">
        <f t="shared" ref="FA67:FA107" si="259">EZ67/F67</f>
        <v>1.7792060528773492E-2</v>
      </c>
      <c r="FB67" s="3">
        <f t="shared" ref="FB67:FB109" si="260">EV67+EY67+FA67</f>
        <v>5.583916145818428E-2</v>
      </c>
      <c r="FC67" s="1">
        <f t="shared" si="218"/>
        <v>0.45529999999999998</v>
      </c>
      <c r="FD67">
        <f>4.63/10</f>
        <v>0.46299999999999997</v>
      </c>
      <c r="FE67">
        <f>6.1</f>
        <v>6.1</v>
      </c>
      <c r="FF67" s="7">
        <f t="shared" si="219"/>
        <v>20.192499999999999</v>
      </c>
      <c r="FG67" s="1">
        <f t="shared" si="220"/>
        <v>2.8184999999999998</v>
      </c>
      <c r="FH67">
        <v>2.63E-2</v>
      </c>
      <c r="FI67">
        <v>3.4000000000000002E-2</v>
      </c>
      <c r="FJ67">
        <v>4.41E-2</v>
      </c>
      <c r="FK67">
        <v>4.0899999999999999E-2</v>
      </c>
      <c r="FL67" s="1">
        <f t="shared" si="221"/>
        <v>2.5666666666666672E-3</v>
      </c>
    </row>
    <row r="68" spans="1:168">
      <c r="A68" t="s">
        <v>117</v>
      </c>
      <c r="B68" s="1" t="s">
        <v>48</v>
      </c>
      <c r="C68" s="1">
        <v>361055</v>
      </c>
      <c r="D68" s="6">
        <f t="shared" si="223"/>
        <v>369352.1</v>
      </c>
      <c r="E68" s="6">
        <f t="shared" si="224"/>
        <v>374883.5</v>
      </c>
      <c r="F68" s="1">
        <v>388712</v>
      </c>
      <c r="G68" s="1">
        <f t="shared" si="144"/>
        <v>2765.7</v>
      </c>
      <c r="H68" s="1">
        <v>1.31</v>
      </c>
      <c r="I68" s="1">
        <v>1.28</v>
      </c>
      <c r="J68" s="1">
        <v>1.22</v>
      </c>
      <c r="K68">
        <v>154488</v>
      </c>
      <c r="L68">
        <f t="shared" si="225"/>
        <v>0.42787940895431442</v>
      </c>
      <c r="M68" s="1">
        <v>139891</v>
      </c>
      <c r="N68">
        <f t="shared" si="226"/>
        <v>0.35988340982526912</v>
      </c>
      <c r="O68">
        <f t="shared" si="227"/>
        <v>-0.1589139316033443</v>
      </c>
      <c r="P68">
        <f t="shared" si="228"/>
        <v>0.18179678452403122</v>
      </c>
      <c r="Q68">
        <f t="shared" si="229"/>
        <v>0.16216202957573816</v>
      </c>
      <c r="R68">
        <f t="shared" si="230"/>
        <v>797.83350888666212</v>
      </c>
      <c r="S68">
        <f t="shared" si="231"/>
        <v>684.66528653964804</v>
      </c>
      <c r="T68">
        <f t="shared" si="232"/>
        <v>693.81469984074454</v>
      </c>
      <c r="U68">
        <v>92297.113769999996</v>
      </c>
      <c r="V68">
        <f t="shared" si="233"/>
        <v>7.517187390818067E-3</v>
      </c>
      <c r="W68">
        <f t="shared" si="234"/>
        <v>571.03388194858917</v>
      </c>
      <c r="X68">
        <v>79429.064259999999</v>
      </c>
      <c r="Y68">
        <f t="shared" si="235"/>
        <v>7.1892308850496989E-3</v>
      </c>
      <c r="Z68" s="1">
        <v>17395</v>
      </c>
      <c r="AA68" s="1">
        <f t="shared" si="236"/>
        <v>4.8178255390452979E-2</v>
      </c>
      <c r="AB68" s="1">
        <v>180450</v>
      </c>
      <c r="AC68" s="1">
        <f t="shared" si="145"/>
        <v>0.49978535126227308</v>
      </c>
      <c r="AD68" s="1">
        <v>61.278341249999997</v>
      </c>
      <c r="AE68" s="1">
        <v>23056</v>
      </c>
      <c r="AF68">
        <f t="shared" si="165"/>
        <v>1.3254383443518252</v>
      </c>
      <c r="AG68">
        <f t="shared" si="166"/>
        <v>0.12776946522582433</v>
      </c>
      <c r="AH68">
        <f t="shared" si="222"/>
        <v>8.1559869452613992E-3</v>
      </c>
      <c r="AI68">
        <v>97974</v>
      </c>
      <c r="AJ68">
        <f t="shared" si="167"/>
        <v>128345.94</v>
      </c>
      <c r="AK68">
        <f t="shared" si="146"/>
        <v>0.34748940103494746</v>
      </c>
      <c r="AL68">
        <f t="shared" si="168"/>
        <v>40.567501634999999</v>
      </c>
      <c r="AM68">
        <f t="shared" si="169"/>
        <v>8.5657086837989463E-3</v>
      </c>
      <c r="AN68">
        <v>125.91</v>
      </c>
      <c r="AO68">
        <f t="shared" si="170"/>
        <v>125910</v>
      </c>
      <c r="AP68">
        <f t="shared" si="171"/>
        <v>161164.80000000002</v>
      </c>
      <c r="AQ68">
        <f t="shared" si="147"/>
        <v>0.42990635757508672</v>
      </c>
      <c r="AR68">
        <f t="shared" si="172"/>
        <v>51.759606732800002</v>
      </c>
      <c r="AS68">
        <f t="shared" si="173"/>
        <v>8.3058273567340607E-3</v>
      </c>
      <c r="AT68" s="1">
        <v>21915</v>
      </c>
      <c r="AU68" s="1">
        <f t="shared" si="237"/>
        <v>5.6378501306880158E-2</v>
      </c>
      <c r="AV68" s="1">
        <f t="shared" si="238"/>
        <v>0.17020636903452804</v>
      </c>
      <c r="AW68" s="1">
        <v>172974</v>
      </c>
      <c r="AX68" s="1">
        <f t="shared" si="174"/>
        <v>211028.28</v>
      </c>
      <c r="AY68" s="1">
        <f t="shared" si="148"/>
        <v>0.54289108645989836</v>
      </c>
      <c r="AZ68" s="1">
        <f t="shared" si="239"/>
        <v>8.6248496657127166E-2</v>
      </c>
      <c r="BA68" s="1">
        <f t="shared" si="175"/>
        <v>60.4858519474</v>
      </c>
      <c r="BB68" s="1">
        <v>22086</v>
      </c>
      <c r="BC68" s="1">
        <f t="shared" si="176"/>
        <v>26944.92</v>
      </c>
      <c r="BD68" s="1">
        <f t="shared" si="177"/>
        <v>1.2295195071868583</v>
      </c>
      <c r="BE68" s="1">
        <f t="shared" si="178"/>
        <v>0.12768392937666931</v>
      </c>
      <c r="BF68" s="1">
        <f t="shared" si="179"/>
        <v>8.9755053286181691E-3</v>
      </c>
      <c r="BG68" s="1">
        <v>7139</v>
      </c>
      <c r="BH68" s="1">
        <f t="shared" si="240"/>
        <v>1.9772610821066041E-2</v>
      </c>
      <c r="BI68" s="1">
        <v>233187.451</v>
      </c>
      <c r="BJ68" s="1">
        <f t="shared" si="149"/>
        <v>0.6458502194956447</v>
      </c>
      <c r="BK68" s="1">
        <v>101.2013381</v>
      </c>
      <c r="BL68" s="1">
        <v>12786.486000000001</v>
      </c>
      <c r="BM68">
        <f t="shared" si="150"/>
        <v>1.7910752206191345</v>
      </c>
      <c r="BN68">
        <f t="shared" si="151"/>
        <v>5.483350817192989E-2</v>
      </c>
      <c r="BO68">
        <f t="shared" si="180"/>
        <v>6.3818347822383655E-3</v>
      </c>
      <c r="BP68">
        <v>112723</v>
      </c>
      <c r="BQ68">
        <f t="shared" si="181"/>
        <v>147667.13</v>
      </c>
      <c r="BR68">
        <f t="shared" si="152"/>
        <v>0.39980043432811135</v>
      </c>
      <c r="BS68">
        <f t="shared" si="182"/>
        <v>59.525235619600004</v>
      </c>
      <c r="BT68">
        <f t="shared" si="183"/>
        <v>6.7164863803826453E-3</v>
      </c>
      <c r="BU68">
        <v>118.64</v>
      </c>
      <c r="BV68">
        <f t="shared" si="184"/>
        <v>118640</v>
      </c>
      <c r="BW68">
        <f t="shared" si="185"/>
        <v>151859.20000000001</v>
      </c>
      <c r="BX68">
        <f t="shared" si="154"/>
        <v>0.40508371267340393</v>
      </c>
      <c r="BY68">
        <f t="shared" si="186"/>
        <v>76.247206297600002</v>
      </c>
      <c r="BZ68">
        <f t="shared" si="187"/>
        <v>5.3127679339794323E-3</v>
      </c>
      <c r="CA68" s="1">
        <v>5962</v>
      </c>
      <c r="CB68" s="1">
        <f t="shared" si="241"/>
        <v>1.5337833666056103E-2</v>
      </c>
      <c r="CC68" s="1">
        <f t="shared" si="242"/>
        <v>-0.22428890120494654</v>
      </c>
      <c r="CD68" s="1">
        <v>165550</v>
      </c>
      <c r="CE68" s="1">
        <f t="shared" si="188"/>
        <v>201971</v>
      </c>
      <c r="CF68">
        <f t="shared" si="155"/>
        <v>0.51959033937722532</v>
      </c>
      <c r="CG68">
        <f t="shared" si="243"/>
        <v>-0.19549405776623849</v>
      </c>
      <c r="CH68">
        <f t="shared" si="189"/>
        <v>90.917938902799989</v>
      </c>
      <c r="CI68" s="1">
        <v>10058</v>
      </c>
      <c r="CJ68" s="1">
        <f t="shared" si="190"/>
        <v>12270.76</v>
      </c>
      <c r="CK68">
        <f t="shared" si="191"/>
        <v>2.0581616907078164</v>
      </c>
      <c r="CL68">
        <f t="shared" si="192"/>
        <v>6.0755058894593782E-2</v>
      </c>
      <c r="CM68">
        <f t="shared" si="193"/>
        <v>5.7149375101069695E-3</v>
      </c>
      <c r="CN68" s="1">
        <v>32349</v>
      </c>
      <c r="CO68" s="1">
        <f t="shared" si="244"/>
        <v>8.9595767957790368E-2</v>
      </c>
      <c r="CP68" s="1">
        <v>250091629</v>
      </c>
      <c r="CQ68" s="1">
        <f t="shared" si="156"/>
        <v>692.66906426998662</v>
      </c>
      <c r="CR68" s="1">
        <v>108123.0123</v>
      </c>
      <c r="CS68" s="1">
        <v>45347321</v>
      </c>
      <c r="CT68">
        <f t="shared" si="194"/>
        <v>1401.8152338557607</v>
      </c>
      <c r="CU68">
        <f t="shared" si="195"/>
        <v>0.18132282628300206</v>
      </c>
      <c r="CV68">
        <f t="shared" si="196"/>
        <v>6.4063056470170746E-3</v>
      </c>
      <c r="CW68" s="1">
        <v>25606</v>
      </c>
      <c r="CX68" s="1">
        <f t="shared" si="245"/>
        <v>6.5873963242709249E-2</v>
      </c>
      <c r="CY68" s="1">
        <f t="shared" si="246"/>
        <v>-0.26476479029965727</v>
      </c>
      <c r="CZ68" s="1">
        <v>181602232</v>
      </c>
      <c r="DA68" s="1">
        <f t="shared" si="143"/>
        <v>221554723.03999999</v>
      </c>
      <c r="DB68" s="1">
        <f t="shared" si="157"/>
        <v>569.97140052275199</v>
      </c>
      <c r="DC68" s="1">
        <f t="shared" si="247"/>
        <v>-0.17713749621047009</v>
      </c>
      <c r="DD68" s="1">
        <f t="shared" si="197"/>
        <v>93954.54819500001</v>
      </c>
      <c r="DE68" s="1">
        <v>29982572</v>
      </c>
      <c r="DF68" s="1">
        <f t="shared" si="198"/>
        <v>36578737.839999996</v>
      </c>
      <c r="DG68">
        <f t="shared" si="199"/>
        <v>1428.5221369991407</v>
      </c>
      <c r="DH68">
        <f t="shared" si="200"/>
        <v>0.16510023951687994</v>
      </c>
      <c r="DI68">
        <f t="shared" si="201"/>
        <v>6.0664588513564292E-3</v>
      </c>
      <c r="DJ68" s="1">
        <v>3887800</v>
      </c>
      <c r="DK68">
        <f t="shared" si="158"/>
        <v>10.76788854883605</v>
      </c>
      <c r="DL68">
        <v>1889.3069949999999</v>
      </c>
      <c r="DM68" s="1">
        <v>864678</v>
      </c>
      <c r="DN68" s="3">
        <f t="shared" si="202"/>
        <v>5.6993853181790868E-3</v>
      </c>
      <c r="DO68" s="1">
        <v>3150144</v>
      </c>
      <c r="DP68" s="1">
        <f t="shared" si="203"/>
        <v>3843175.6799999997</v>
      </c>
      <c r="DQ68" s="3">
        <f t="shared" si="159"/>
        <v>9.8869488978987015</v>
      </c>
      <c r="DR68" s="3">
        <f t="shared" si="204"/>
        <v>1905.8896083399998</v>
      </c>
      <c r="DS68" s="3">
        <f t="shared" si="205"/>
        <v>697675.88642281445</v>
      </c>
      <c r="DT68" s="3">
        <f t="shared" si="206"/>
        <v>5.1875768956577079E-3</v>
      </c>
      <c r="DU68" s="3">
        <f t="shared" si="207"/>
        <v>0.80686207631374274</v>
      </c>
      <c r="DV68" s="3">
        <f t="shared" si="208"/>
        <v>472.79026093629454</v>
      </c>
      <c r="DW68" s="3">
        <f t="shared" si="209"/>
        <v>0.11957750457814988</v>
      </c>
      <c r="DX68" s="3">
        <f t="shared" si="210"/>
        <v>254393066.45100001</v>
      </c>
      <c r="DY68" s="3">
        <f t="shared" si="248"/>
        <v>704.58258838958056</v>
      </c>
      <c r="DZ68" s="3">
        <f t="shared" si="211"/>
        <v>253979429</v>
      </c>
      <c r="EA68" s="3">
        <f t="shared" si="212"/>
        <v>276013.07</v>
      </c>
      <c r="EB68" s="3">
        <f t="shared" si="249"/>
        <v>0.74728983536305882</v>
      </c>
      <c r="EC68" s="3">
        <f t="shared" si="213"/>
        <v>313024</v>
      </c>
      <c r="ED68" s="3">
        <f t="shared" si="250"/>
        <v>0.83499007024849048</v>
      </c>
      <c r="EE68" s="9">
        <f t="shared" si="214"/>
        <v>225810898</v>
      </c>
      <c r="EF68" s="13">
        <f t="shared" si="251"/>
        <v>580.92083084648789</v>
      </c>
      <c r="EG68" s="14">
        <f t="shared" si="252"/>
        <v>-0.17551066344931751</v>
      </c>
      <c r="EH68" s="9">
        <f t="shared" si="215"/>
        <v>225397898.72</v>
      </c>
      <c r="EI68" s="10">
        <v>827614</v>
      </c>
      <c r="EJ68" s="10">
        <f t="shared" si="160"/>
        <v>1084174.3400000001</v>
      </c>
      <c r="EK68" s="10">
        <f t="shared" si="253"/>
        <v>2.9353409389035563</v>
      </c>
      <c r="EL68" s="10">
        <v>1207000</v>
      </c>
      <c r="EM68" s="10">
        <f t="shared" si="161"/>
        <v>1544960</v>
      </c>
      <c r="EN68" s="10">
        <f t="shared" si="254"/>
        <v>4.1211736446122593</v>
      </c>
      <c r="EO68" s="11">
        <v>5022111</v>
      </c>
      <c r="EP68" s="11">
        <f t="shared" si="162"/>
        <v>6126975.4199999999</v>
      </c>
      <c r="EQ68" s="11">
        <f t="shared" si="255"/>
        <v>15.762249223075182</v>
      </c>
      <c r="ER68" s="10">
        <f t="shared" si="256"/>
        <v>22.818763806590997</v>
      </c>
      <c r="ES68" s="10">
        <f t="shared" si="216"/>
        <v>3.9657825574772163</v>
      </c>
      <c r="ET68" s="12">
        <v>636880</v>
      </c>
      <c r="EU68" s="12">
        <f t="shared" si="163"/>
        <v>834312.8</v>
      </c>
      <c r="EV68" s="12">
        <f t="shared" si="257"/>
        <v>2.2588548975354414</v>
      </c>
      <c r="EW68" s="10">
        <v>284000</v>
      </c>
      <c r="EX68" s="10">
        <f t="shared" si="164"/>
        <v>363520</v>
      </c>
      <c r="EY68" s="10">
        <f t="shared" si="258"/>
        <v>0.96968791637935514</v>
      </c>
      <c r="EZ68" s="3">
        <f t="shared" si="217"/>
        <v>1126282.2463235294</v>
      </c>
      <c r="FA68" s="3">
        <f t="shared" si="259"/>
        <v>2.897472283653526</v>
      </c>
      <c r="FB68" s="3">
        <f t="shared" si="260"/>
        <v>6.1260150975683221</v>
      </c>
      <c r="FC68" s="1">
        <f t="shared" si="218"/>
        <v>0.3483</v>
      </c>
      <c r="FD68">
        <f>3.56/10</f>
        <v>0.35599999999999998</v>
      </c>
      <c r="FE68">
        <f>4.4</f>
        <v>4.4000000000000004</v>
      </c>
      <c r="FF68" s="7">
        <f t="shared" si="219"/>
        <v>14.510000000000002</v>
      </c>
      <c r="FG68" s="1">
        <f t="shared" si="220"/>
        <v>2.0220000000000002</v>
      </c>
      <c r="FH68">
        <v>2.63E-2</v>
      </c>
      <c r="FI68">
        <v>3.4000000000000002E-2</v>
      </c>
      <c r="FJ68">
        <v>4.41E-2</v>
      </c>
      <c r="FK68">
        <v>4.0899999999999999E-2</v>
      </c>
      <c r="FL68" s="1">
        <f t="shared" si="221"/>
        <v>2.5666666666666672E-3</v>
      </c>
    </row>
    <row r="69" spans="1:168">
      <c r="A69" t="s">
        <v>117</v>
      </c>
      <c r="B69" s="1" t="s">
        <v>49</v>
      </c>
      <c r="C69" s="1">
        <v>589356</v>
      </c>
      <c r="D69" s="6">
        <f t="shared" si="223"/>
        <v>599145.30000000005</v>
      </c>
      <c r="E69" s="6">
        <f t="shared" si="224"/>
        <v>605671.5</v>
      </c>
      <c r="F69" s="1">
        <v>621987</v>
      </c>
      <c r="G69" s="1">
        <f t="shared" si="144"/>
        <v>3263.1</v>
      </c>
      <c r="H69" s="1">
        <v>1.31</v>
      </c>
      <c r="I69" s="1">
        <v>1.28</v>
      </c>
      <c r="J69" s="1">
        <v>1.22</v>
      </c>
      <c r="K69">
        <v>257424</v>
      </c>
      <c r="L69">
        <f t="shared" si="225"/>
        <v>0.43678863030154946</v>
      </c>
      <c r="M69" s="1">
        <v>228987</v>
      </c>
      <c r="N69">
        <f t="shared" si="226"/>
        <v>0.36815399678771421</v>
      </c>
      <c r="O69">
        <f t="shared" si="227"/>
        <v>-0.15713466137259888</v>
      </c>
      <c r="P69">
        <f t="shared" si="228"/>
        <v>0.15830556264570847</v>
      </c>
      <c r="Q69">
        <f t="shared" si="229"/>
        <v>0.15082558825334078</v>
      </c>
      <c r="R69">
        <f t="shared" si="230"/>
        <v>876.17031495045899</v>
      </c>
      <c r="S69">
        <f t="shared" si="231"/>
        <v>890.67477553227684</v>
      </c>
      <c r="T69">
        <f t="shared" si="232"/>
        <v>1238.7872601721201</v>
      </c>
      <c r="U69">
        <v>92297.113769999996</v>
      </c>
      <c r="V69">
        <f t="shared" si="233"/>
        <v>1.3421733460258777E-2</v>
      </c>
      <c r="W69">
        <f t="shared" si="234"/>
        <v>1084.312129867666</v>
      </c>
      <c r="X69">
        <v>79429.064259999999</v>
      </c>
      <c r="Y69">
        <f t="shared" si="235"/>
        <v>1.3651327004411396E-2</v>
      </c>
      <c r="Z69" s="1">
        <v>28611</v>
      </c>
      <c r="AA69" s="1">
        <f t="shared" si="236"/>
        <v>4.8546209761163035E-2</v>
      </c>
      <c r="AB69" s="1">
        <v>331907</v>
      </c>
      <c r="AC69" s="1">
        <f t="shared" si="145"/>
        <v>0.56316895051547788</v>
      </c>
      <c r="AD69" s="1">
        <v>61.278341249999997</v>
      </c>
      <c r="AE69" s="1">
        <v>40298</v>
      </c>
      <c r="AF69">
        <f t="shared" si="165"/>
        <v>1.4084792562301214</v>
      </c>
      <c r="AG69">
        <f t="shared" si="166"/>
        <v>0.12141352848840187</v>
      </c>
      <c r="AH69">
        <f t="shared" si="222"/>
        <v>9.1903426076416182E-3</v>
      </c>
      <c r="AI69">
        <v>184720</v>
      </c>
      <c r="AJ69">
        <f t="shared" si="167"/>
        <v>241983.2</v>
      </c>
      <c r="AK69">
        <f t="shared" si="146"/>
        <v>0.40388066133540562</v>
      </c>
      <c r="AL69">
        <f t="shared" si="168"/>
        <v>40.567501634999999</v>
      </c>
      <c r="AM69">
        <f t="shared" si="169"/>
        <v>9.9557686585992206E-3</v>
      </c>
      <c r="AN69">
        <v>230.78</v>
      </c>
      <c r="AO69">
        <f t="shared" si="170"/>
        <v>230780</v>
      </c>
      <c r="AP69">
        <f t="shared" si="171"/>
        <v>295398.40000000002</v>
      </c>
      <c r="AQ69">
        <f t="shared" si="147"/>
        <v>0.48772048874678769</v>
      </c>
      <c r="AR69">
        <f t="shared" si="172"/>
        <v>51.759606732800002</v>
      </c>
      <c r="AS69">
        <f t="shared" si="173"/>
        <v>9.4228012833358684E-3</v>
      </c>
      <c r="AT69" s="1">
        <v>32566</v>
      </c>
      <c r="AU69" s="1">
        <f t="shared" si="237"/>
        <v>5.2358007482471498E-2</v>
      </c>
      <c r="AV69" s="1">
        <f t="shared" si="238"/>
        <v>7.8518956269947593E-2</v>
      </c>
      <c r="AW69" s="1">
        <v>275006</v>
      </c>
      <c r="AX69" s="1">
        <f t="shared" si="174"/>
        <v>335507.32</v>
      </c>
      <c r="AY69" s="1">
        <f t="shared" si="148"/>
        <v>0.53941210989940303</v>
      </c>
      <c r="AZ69" s="1">
        <f t="shared" si="239"/>
        <v>-4.2184215934365395E-2</v>
      </c>
      <c r="BA69" s="1">
        <f t="shared" si="175"/>
        <v>60.4858519474</v>
      </c>
      <c r="BB69" s="1">
        <v>35534</v>
      </c>
      <c r="BC69" s="1">
        <f t="shared" si="176"/>
        <v>43351.479999999996</v>
      </c>
      <c r="BD69" s="1">
        <f t="shared" si="177"/>
        <v>1.3311883559540625</v>
      </c>
      <c r="BE69" s="1">
        <f t="shared" si="178"/>
        <v>0.12921172628960823</v>
      </c>
      <c r="BF69" s="1">
        <f t="shared" si="179"/>
        <v>8.9179881332991581E-3</v>
      </c>
      <c r="BG69" s="1">
        <v>17576</v>
      </c>
      <c r="BH69" s="1">
        <f t="shared" si="240"/>
        <v>2.9822382397057128E-2</v>
      </c>
      <c r="BI69" s="1">
        <v>735711.50600000005</v>
      </c>
      <c r="BJ69" s="1">
        <f t="shared" si="149"/>
        <v>1.2483312395224619</v>
      </c>
      <c r="BK69" s="1">
        <v>101.2013381</v>
      </c>
      <c r="BL69" s="1">
        <v>34695.81</v>
      </c>
      <c r="BM69">
        <f t="shared" si="150"/>
        <v>1.9740447200728264</v>
      </c>
      <c r="BN69">
        <f t="shared" si="151"/>
        <v>4.7159531578672899E-2</v>
      </c>
      <c r="BO69">
        <f t="shared" si="180"/>
        <v>1.2335125828958401E-2</v>
      </c>
      <c r="BP69">
        <v>346784</v>
      </c>
      <c r="BQ69">
        <f t="shared" si="181"/>
        <v>454287.04000000004</v>
      </c>
      <c r="BR69">
        <f t="shared" si="152"/>
        <v>0.7582251584048143</v>
      </c>
      <c r="BS69">
        <f t="shared" si="182"/>
        <v>59.525235619600004</v>
      </c>
      <c r="BT69">
        <f t="shared" si="183"/>
        <v>1.2737877481918809E-2</v>
      </c>
      <c r="BU69">
        <v>513.32000000000005</v>
      </c>
      <c r="BV69">
        <f t="shared" si="184"/>
        <v>513320.00000000006</v>
      </c>
      <c r="BW69">
        <f t="shared" si="185"/>
        <v>657049.60000000009</v>
      </c>
      <c r="BX69">
        <f t="shared" si="154"/>
        <v>1.0848283269065824</v>
      </c>
      <c r="BY69">
        <f t="shared" si="186"/>
        <v>76.247206297600002</v>
      </c>
      <c r="BZ69">
        <f t="shared" si="187"/>
        <v>1.422777803389144E-2</v>
      </c>
      <c r="CA69" s="1">
        <v>15069</v>
      </c>
      <c r="CB69" s="1">
        <f t="shared" si="241"/>
        <v>2.4227194459048178E-2</v>
      </c>
      <c r="CC69" s="1">
        <f t="shared" si="242"/>
        <v>-0.18761706772833422</v>
      </c>
      <c r="CD69" s="1">
        <v>673630</v>
      </c>
      <c r="CE69" s="1">
        <f t="shared" si="188"/>
        <v>821828.6</v>
      </c>
      <c r="CF69">
        <f t="shared" si="155"/>
        <v>1.3212954611591561</v>
      </c>
      <c r="CG69">
        <f t="shared" si="243"/>
        <v>5.8449407758637807E-2</v>
      </c>
      <c r="CH69">
        <f t="shared" si="189"/>
        <v>90.917938902799989</v>
      </c>
      <c r="CI69" s="1">
        <v>28241</v>
      </c>
      <c r="CJ69" s="1">
        <f t="shared" si="190"/>
        <v>34454.019999999997</v>
      </c>
      <c r="CK69">
        <f t="shared" si="191"/>
        <v>2.2864171477868469</v>
      </c>
      <c r="CL69">
        <f t="shared" si="192"/>
        <v>4.1923607915324436E-2</v>
      </c>
      <c r="CM69">
        <f t="shared" si="193"/>
        <v>1.453283562193098E-2</v>
      </c>
      <c r="CN69" s="1">
        <v>85421</v>
      </c>
      <c r="CO69" s="1">
        <f t="shared" si="244"/>
        <v>0.14493956114810064</v>
      </c>
      <c r="CP69" s="1">
        <v>729019086</v>
      </c>
      <c r="CQ69" s="1">
        <f t="shared" si="156"/>
        <v>1236.9757599820821</v>
      </c>
      <c r="CR69" s="1">
        <v>108123.0123</v>
      </c>
      <c r="CS69" s="1">
        <v>115236029</v>
      </c>
      <c r="CT69">
        <f t="shared" si="194"/>
        <v>1349.0362908418304</v>
      </c>
      <c r="CU69">
        <f t="shared" si="195"/>
        <v>0.15806997541351064</v>
      </c>
      <c r="CV69">
        <f t="shared" si="196"/>
        <v>1.144044855640858E-2</v>
      </c>
      <c r="CW69" s="1">
        <v>67014</v>
      </c>
      <c r="CX69" s="1">
        <f t="shared" si="245"/>
        <v>0.10774180167752702</v>
      </c>
      <c r="CY69" s="1">
        <f t="shared" si="246"/>
        <v>-0.25664324616358258</v>
      </c>
      <c r="CZ69" s="1">
        <v>551861240</v>
      </c>
      <c r="DA69" s="1">
        <f t="shared" si="143"/>
        <v>673270712.79999995</v>
      </c>
      <c r="DB69" s="1">
        <f t="shared" si="157"/>
        <v>1082.4514222966075</v>
      </c>
      <c r="DC69" s="1">
        <f t="shared" si="247"/>
        <v>-0.12492107176596003</v>
      </c>
      <c r="DD69" s="1">
        <f t="shared" si="197"/>
        <v>93954.54819500001</v>
      </c>
      <c r="DE69" s="1">
        <v>83637022</v>
      </c>
      <c r="DF69" s="1">
        <f t="shared" si="198"/>
        <v>102037166.84</v>
      </c>
      <c r="DG69">
        <f t="shared" si="199"/>
        <v>1522.6246282866268</v>
      </c>
      <c r="DH69">
        <f t="shared" si="200"/>
        <v>0.15155444147517955</v>
      </c>
      <c r="DI69">
        <f t="shared" si="201"/>
        <v>1.1521011415541163E-2</v>
      </c>
      <c r="DJ69" s="1">
        <v>2295657</v>
      </c>
      <c r="DK69">
        <f t="shared" si="158"/>
        <v>3.8951957730132549</v>
      </c>
      <c r="DL69">
        <v>1889.3069949999999</v>
      </c>
      <c r="DM69" s="1">
        <v>629179</v>
      </c>
      <c r="DN69" s="3">
        <f t="shared" si="202"/>
        <v>2.0617061088122712E-3</v>
      </c>
      <c r="DO69" s="1">
        <v>2141031</v>
      </c>
      <c r="DP69" s="1">
        <f t="shared" si="203"/>
        <v>2612057.8199999998</v>
      </c>
      <c r="DQ69" s="3">
        <f t="shared" si="159"/>
        <v>4.1995376430697098</v>
      </c>
      <c r="DR69" s="3">
        <f t="shared" si="204"/>
        <v>1905.8896083399998</v>
      </c>
      <c r="DS69" s="3">
        <f t="shared" si="205"/>
        <v>557176.53539308556</v>
      </c>
      <c r="DT69" s="3">
        <f t="shared" si="206"/>
        <v>2.2034527208149488E-3</v>
      </c>
      <c r="DU69" s="3">
        <f t="shared" si="207"/>
        <v>0.88556123995410774</v>
      </c>
      <c r="DV69" s="3">
        <f t="shared" si="208"/>
        <v>479.77684143475017</v>
      </c>
      <c r="DW69" s="3">
        <f t="shared" si="209"/>
        <v>0.10822213519344963</v>
      </c>
      <c r="DX69" s="3">
        <f t="shared" si="210"/>
        <v>732382361.50600004</v>
      </c>
      <c r="DY69" s="3">
        <f t="shared" si="248"/>
        <v>1242.6824559451334</v>
      </c>
      <c r="DZ69" s="3">
        <f t="shared" si="211"/>
        <v>731314743</v>
      </c>
      <c r="EA69" s="3">
        <f t="shared" si="212"/>
        <v>696270.24</v>
      </c>
      <c r="EB69" s="3">
        <f t="shared" si="249"/>
        <v>1.1621058197402199</v>
      </c>
      <c r="EC69" s="3">
        <f t="shared" si="213"/>
        <v>952448.00000000012</v>
      </c>
      <c r="ED69" s="3">
        <f t="shared" si="250"/>
        <v>1.57254881565337</v>
      </c>
      <c r="EE69" s="9">
        <f t="shared" si="214"/>
        <v>677040106.53999996</v>
      </c>
      <c r="EF69" s="13">
        <f t="shared" si="251"/>
        <v>1088.5116675107356</v>
      </c>
      <c r="EG69" s="14">
        <f t="shared" si="252"/>
        <v>-0.12406289933267126</v>
      </c>
      <c r="EH69" s="9">
        <f t="shared" si="215"/>
        <v>675882770.62</v>
      </c>
      <c r="EI69" s="10">
        <v>1183333</v>
      </c>
      <c r="EJ69" s="10">
        <f t="shared" si="160"/>
        <v>1550166.23</v>
      </c>
      <c r="EK69" s="10">
        <f t="shared" si="253"/>
        <v>2.5872959864660539</v>
      </c>
      <c r="EL69" s="10">
        <v>1921000</v>
      </c>
      <c r="EM69" s="10">
        <f t="shared" si="161"/>
        <v>2458880</v>
      </c>
      <c r="EN69" s="10">
        <f t="shared" si="254"/>
        <v>4.0597584664294093</v>
      </c>
      <c r="EO69" s="11">
        <v>6015448</v>
      </c>
      <c r="EP69" s="11">
        <f t="shared" si="162"/>
        <v>7338846.5599999996</v>
      </c>
      <c r="EQ69" s="11">
        <f t="shared" si="255"/>
        <v>11.79903528530339</v>
      </c>
      <c r="ER69" s="10">
        <f t="shared" si="256"/>
        <v>18.446089738198854</v>
      </c>
      <c r="ES69" s="10">
        <f t="shared" si="216"/>
        <v>2.9846298152004165</v>
      </c>
      <c r="ET69" s="12">
        <v>160073</v>
      </c>
      <c r="EU69" s="12">
        <f t="shared" si="163"/>
        <v>209695.63</v>
      </c>
      <c r="EV69" s="12">
        <f t="shared" si="257"/>
        <v>0.34999127924394963</v>
      </c>
      <c r="EW69" s="10">
        <v>52000</v>
      </c>
      <c r="EX69" s="10">
        <f t="shared" si="164"/>
        <v>66560</v>
      </c>
      <c r="EY69" s="10">
        <f t="shared" si="258"/>
        <v>0.10989455505170707</v>
      </c>
      <c r="EZ69" s="3">
        <f t="shared" si="217"/>
        <v>155200.75039042166</v>
      </c>
      <c r="FA69" s="3">
        <f t="shared" si="259"/>
        <v>0.24952410643698608</v>
      </c>
      <c r="FB69" s="3">
        <f t="shared" si="260"/>
        <v>0.70940994073264285</v>
      </c>
      <c r="FC69" s="1">
        <f t="shared" si="218"/>
        <v>0.57329999999999992</v>
      </c>
      <c r="FD69">
        <f>5.81/10</f>
        <v>0.58099999999999996</v>
      </c>
      <c r="FE69">
        <f>6.5</f>
        <v>6.5</v>
      </c>
      <c r="FF69" s="7">
        <f t="shared" si="219"/>
        <v>21.297499999999999</v>
      </c>
      <c r="FG69" s="1">
        <f t="shared" si="220"/>
        <v>2.9595000000000002</v>
      </c>
      <c r="FH69">
        <v>2.63E-2</v>
      </c>
      <c r="FI69">
        <v>3.4000000000000002E-2</v>
      </c>
      <c r="FJ69">
        <v>4.41E-2</v>
      </c>
      <c r="FK69">
        <v>4.0899999999999999E-2</v>
      </c>
      <c r="FL69" s="1">
        <f t="shared" si="221"/>
        <v>2.5666666666666672E-3</v>
      </c>
    </row>
    <row r="70" spans="1:168">
      <c r="A70" t="s">
        <v>117</v>
      </c>
      <c r="B70" s="1" t="s">
        <v>50</v>
      </c>
      <c r="C70" s="1">
        <v>347709</v>
      </c>
      <c r="D70" s="6">
        <f t="shared" si="223"/>
        <v>346696.2</v>
      </c>
      <c r="E70" s="6">
        <f t="shared" si="224"/>
        <v>346021</v>
      </c>
      <c r="F70" s="1">
        <v>344333</v>
      </c>
      <c r="G70" s="1">
        <f t="shared" si="144"/>
        <v>-337.6</v>
      </c>
      <c r="H70" s="1">
        <v>1.31</v>
      </c>
      <c r="I70" s="1">
        <v>1.28</v>
      </c>
      <c r="J70" s="1">
        <v>1.22</v>
      </c>
      <c r="K70">
        <v>147939</v>
      </c>
      <c r="L70">
        <f t="shared" si="225"/>
        <v>0.42546784811437149</v>
      </c>
      <c r="M70" s="1">
        <v>118194</v>
      </c>
      <c r="N70">
        <f t="shared" si="226"/>
        <v>0.34325493054688339</v>
      </c>
      <c r="O70">
        <f t="shared" si="227"/>
        <v>-0.19322944831635824</v>
      </c>
      <c r="P70">
        <f t="shared" si="228"/>
        <v>0.16668111600549576</v>
      </c>
      <c r="Q70">
        <f t="shared" si="229"/>
        <v>0.17262310330902697</v>
      </c>
      <c r="R70">
        <f t="shared" si="230"/>
        <v>1034.5295829430488</v>
      </c>
      <c r="S70">
        <f t="shared" si="231"/>
        <v>1004.786709653092</v>
      </c>
      <c r="T70">
        <f t="shared" si="232"/>
        <v>1379.6464786732583</v>
      </c>
      <c r="U70">
        <v>92297.113769999996</v>
      </c>
      <c r="V70">
        <f t="shared" si="233"/>
        <v>1.4947883225376598E-2</v>
      </c>
      <c r="W70">
        <f t="shared" si="234"/>
        <v>884.67142492877531</v>
      </c>
      <c r="X70">
        <v>79429.064259999999</v>
      </c>
      <c r="Y70">
        <f t="shared" si="235"/>
        <v>1.1137880487083751E-2</v>
      </c>
      <c r="Z70" s="1">
        <v>15758</v>
      </c>
      <c r="AA70" s="1">
        <f t="shared" si="236"/>
        <v>4.5319505678599062E-2</v>
      </c>
      <c r="AB70" s="1">
        <v>189696</v>
      </c>
      <c r="AC70" s="1">
        <f t="shared" si="145"/>
        <v>0.54555964901685028</v>
      </c>
      <c r="AD70" s="1">
        <v>61.278341249999997</v>
      </c>
      <c r="AE70" s="1">
        <v>24010</v>
      </c>
      <c r="AF70">
        <f t="shared" si="165"/>
        <v>1.5236705165630156</v>
      </c>
      <c r="AG70">
        <f t="shared" si="166"/>
        <v>0.12657093454790824</v>
      </c>
      <c r="AH70">
        <f t="shared" si="222"/>
        <v>8.9029767759395782E-3</v>
      </c>
      <c r="AI70">
        <v>82045</v>
      </c>
      <c r="AJ70">
        <f t="shared" si="167"/>
        <v>107478.95000000001</v>
      </c>
      <c r="AK70">
        <f t="shared" si="146"/>
        <v>0.31000902230829186</v>
      </c>
      <c r="AL70">
        <f t="shared" si="168"/>
        <v>40.567501634999999</v>
      </c>
      <c r="AM70">
        <f t="shared" si="169"/>
        <v>7.6418071070176183E-3</v>
      </c>
      <c r="AN70">
        <v>121.56</v>
      </c>
      <c r="AO70">
        <f t="shared" si="170"/>
        <v>121560</v>
      </c>
      <c r="AP70">
        <f t="shared" si="171"/>
        <v>155596.80000000002</v>
      </c>
      <c r="AQ70">
        <f t="shared" si="147"/>
        <v>0.44967444172463528</v>
      </c>
      <c r="AR70">
        <f t="shared" si="172"/>
        <v>51.759606732800002</v>
      </c>
      <c r="AS70">
        <f t="shared" si="173"/>
        <v>8.6877484221625102E-3</v>
      </c>
      <c r="AT70" s="1">
        <v>16677</v>
      </c>
      <c r="AU70" s="1">
        <f t="shared" si="237"/>
        <v>4.8432767117877168E-2</v>
      </c>
      <c r="AV70" s="1">
        <f t="shared" si="238"/>
        <v>6.8695838417943328E-2</v>
      </c>
      <c r="AW70" s="1">
        <v>144008</v>
      </c>
      <c r="AX70" s="1">
        <f t="shared" si="174"/>
        <v>175689.76</v>
      </c>
      <c r="AY70" s="1">
        <f t="shared" si="148"/>
        <v>0.51023212994397871</v>
      </c>
      <c r="AZ70" s="1">
        <f t="shared" si="239"/>
        <v>-6.4754640737332905E-2</v>
      </c>
      <c r="BA70" s="1">
        <f t="shared" si="175"/>
        <v>60.4858519474</v>
      </c>
      <c r="BB70" s="1">
        <v>18146</v>
      </c>
      <c r="BC70" s="1">
        <f t="shared" si="176"/>
        <v>22138.12</v>
      </c>
      <c r="BD70" s="1">
        <f t="shared" si="177"/>
        <v>1.3274641722132277</v>
      </c>
      <c r="BE70" s="1">
        <f t="shared" si="178"/>
        <v>0.1260068885061941</v>
      </c>
      <c r="BF70" s="1">
        <f t="shared" si="179"/>
        <v>8.4355615985650528E-3</v>
      </c>
      <c r="BG70" s="1">
        <v>7540</v>
      </c>
      <c r="BH70" s="1">
        <f t="shared" si="240"/>
        <v>2.1684799645680729E-2</v>
      </c>
      <c r="BI70" s="1">
        <v>189680.45300000001</v>
      </c>
      <c r="BJ70" s="1">
        <f t="shared" si="149"/>
        <v>0.54551493634044568</v>
      </c>
      <c r="BK70" s="1">
        <v>101.2013381</v>
      </c>
      <c r="BL70" s="1">
        <v>13056.584000000001</v>
      </c>
      <c r="BM70">
        <f t="shared" si="150"/>
        <v>1.7316424403183024</v>
      </c>
      <c r="BN70">
        <f t="shared" si="151"/>
        <v>6.8834631051835377E-2</v>
      </c>
      <c r="BO70">
        <f t="shared" si="180"/>
        <v>5.3903925242708393E-3</v>
      </c>
      <c r="BP70">
        <v>110990</v>
      </c>
      <c r="BQ70">
        <f t="shared" si="181"/>
        <v>145396.9</v>
      </c>
      <c r="BR70">
        <f t="shared" si="152"/>
        <v>0.41937840680111288</v>
      </c>
      <c r="BS70">
        <f t="shared" si="182"/>
        <v>59.525235619600004</v>
      </c>
      <c r="BT70">
        <f t="shared" si="183"/>
        <v>7.045388437958963E-3</v>
      </c>
      <c r="BU70">
        <v>145.66</v>
      </c>
      <c r="BV70">
        <f t="shared" si="184"/>
        <v>145660</v>
      </c>
      <c r="BW70">
        <f t="shared" si="185"/>
        <v>186444.80000000002</v>
      </c>
      <c r="BX70">
        <f t="shared" si="154"/>
        <v>0.53882510021068086</v>
      </c>
      <c r="BY70">
        <f t="shared" si="186"/>
        <v>76.247206297600002</v>
      </c>
      <c r="BZ70">
        <f t="shared" si="187"/>
        <v>7.0668176104393375E-3</v>
      </c>
      <c r="CA70" s="1">
        <v>5687</v>
      </c>
      <c r="CB70" s="1">
        <f t="shared" si="241"/>
        <v>1.6515988882854677E-2</v>
      </c>
      <c r="CC70" s="1">
        <f t="shared" si="242"/>
        <v>-0.23836101081319411</v>
      </c>
      <c r="CD70" s="1">
        <v>136755</v>
      </c>
      <c r="CE70" s="1">
        <f t="shared" si="188"/>
        <v>166841.1</v>
      </c>
      <c r="CF70">
        <f t="shared" si="155"/>
        <v>0.48453415734187549</v>
      </c>
      <c r="CG70">
        <f t="shared" si="243"/>
        <v>-0.11178571829335433</v>
      </c>
      <c r="CH70">
        <f t="shared" si="189"/>
        <v>90.917938902799989</v>
      </c>
      <c r="CI70" s="1">
        <v>9546</v>
      </c>
      <c r="CJ70" s="1">
        <f t="shared" si="190"/>
        <v>11646.119999999999</v>
      </c>
      <c r="CK70">
        <f t="shared" si="191"/>
        <v>2.047849481273079</v>
      </c>
      <c r="CL70">
        <f t="shared" si="192"/>
        <v>6.9803663485795753E-2</v>
      </c>
      <c r="CM70">
        <f t="shared" si="193"/>
        <v>5.3293570354678741E-3</v>
      </c>
      <c r="CN70" s="1">
        <v>53996</v>
      </c>
      <c r="CO70" s="1">
        <f t="shared" si="244"/>
        <v>0.15529077475705258</v>
      </c>
      <c r="CP70" s="1">
        <v>479336121</v>
      </c>
      <c r="CQ70" s="1">
        <f t="shared" si="156"/>
        <v>1378.555404087901</v>
      </c>
      <c r="CR70" s="1">
        <v>108123.0123</v>
      </c>
      <c r="CS70" s="1">
        <v>79925863</v>
      </c>
      <c r="CT70">
        <f t="shared" si="194"/>
        <v>1480.2182198681385</v>
      </c>
      <c r="CU70">
        <f t="shared" si="195"/>
        <v>0.16674283346987739</v>
      </c>
      <c r="CV70">
        <f t="shared" si="196"/>
        <v>1.2749879741261159E-2</v>
      </c>
      <c r="CW70" s="1">
        <v>30676</v>
      </c>
      <c r="CX70" s="1">
        <f t="shared" si="245"/>
        <v>8.9088179175391261E-2</v>
      </c>
      <c r="CY70" s="1">
        <f t="shared" si="246"/>
        <v>-0.42631376967004736</v>
      </c>
      <c r="CZ70" s="1">
        <v>249409045</v>
      </c>
      <c r="DA70" s="1">
        <f t="shared" si="143"/>
        <v>304279034.89999998</v>
      </c>
      <c r="DB70" s="1">
        <f t="shared" si="157"/>
        <v>883.67665864148944</v>
      </c>
      <c r="DC70" s="1">
        <f t="shared" si="247"/>
        <v>-0.35898357365900729</v>
      </c>
      <c r="DD70" s="1">
        <f t="shared" si="197"/>
        <v>93954.54819500001</v>
      </c>
      <c r="DE70" s="1">
        <v>43655822</v>
      </c>
      <c r="DF70" s="1">
        <f t="shared" si="198"/>
        <v>53260102.839999996</v>
      </c>
      <c r="DG70">
        <f t="shared" si="199"/>
        <v>1736.2140709349328</v>
      </c>
      <c r="DH70">
        <f t="shared" si="200"/>
        <v>0.17503704406550291</v>
      </c>
      <c r="DI70">
        <f t="shared" si="201"/>
        <v>9.4053632912740256E-3</v>
      </c>
      <c r="DJ70" s="1">
        <v>3109951</v>
      </c>
      <c r="DK70">
        <f t="shared" si="158"/>
        <v>8.9441199393745912</v>
      </c>
      <c r="DL70">
        <v>1889.3069949999999</v>
      </c>
      <c r="DM70" s="1">
        <v>514955</v>
      </c>
      <c r="DN70" s="3">
        <f t="shared" si="202"/>
        <v>4.7340744320774567E-3</v>
      </c>
      <c r="DO70" s="1">
        <v>3367362</v>
      </c>
      <c r="DP70" s="1">
        <f t="shared" si="203"/>
        <v>4108181.64</v>
      </c>
      <c r="DQ70" s="3">
        <f t="shared" si="159"/>
        <v>11.930839158605188</v>
      </c>
      <c r="DR70" s="3">
        <f t="shared" si="204"/>
        <v>1905.8896083399998</v>
      </c>
      <c r="DS70" s="3">
        <f t="shared" si="205"/>
        <v>343208.45626912516</v>
      </c>
      <c r="DT70" s="3">
        <f t="shared" si="206"/>
        <v>6.2599843697121391E-3</v>
      </c>
      <c r="DU70" s="3">
        <f t="shared" si="207"/>
        <v>0.66648242325858598</v>
      </c>
      <c r="DV70" s="3">
        <f t="shared" si="208"/>
        <v>537.17715290223987</v>
      </c>
      <c r="DW70" s="3">
        <f t="shared" si="209"/>
        <v>0.1221659991878523</v>
      </c>
      <c r="DX70" s="3">
        <f t="shared" si="210"/>
        <v>482825448.45300001</v>
      </c>
      <c r="DY70" s="3">
        <f t="shared" si="248"/>
        <v>1388.5905986126329</v>
      </c>
      <c r="DZ70" s="3">
        <f t="shared" si="211"/>
        <v>482446072</v>
      </c>
      <c r="EA70" s="3">
        <f t="shared" si="212"/>
        <v>252875.85</v>
      </c>
      <c r="EB70" s="3">
        <f t="shared" si="249"/>
        <v>0.72938742910940468</v>
      </c>
      <c r="EC70" s="3">
        <f t="shared" si="213"/>
        <v>342041.60000000003</v>
      </c>
      <c r="ED70" s="3">
        <f t="shared" si="250"/>
        <v>0.98849954193531619</v>
      </c>
      <c r="EE70" s="9">
        <f t="shared" si="214"/>
        <v>308729747.39999998</v>
      </c>
      <c r="EF70" s="13">
        <f t="shared" si="251"/>
        <v>896.60226408738049</v>
      </c>
      <c r="EG70" s="14">
        <f t="shared" si="252"/>
        <v>-0.35430769516717686</v>
      </c>
      <c r="EH70" s="9">
        <f t="shared" si="215"/>
        <v>308387216.53999996</v>
      </c>
      <c r="EI70" s="10">
        <v>1223583</v>
      </c>
      <c r="EJ70" s="10">
        <f t="shared" si="160"/>
        <v>1602893.73</v>
      </c>
      <c r="EK70" s="10">
        <f t="shared" si="253"/>
        <v>4.6233380406246161</v>
      </c>
      <c r="EL70" s="10">
        <v>1218000</v>
      </c>
      <c r="EM70" s="10">
        <f t="shared" si="161"/>
        <v>1559040</v>
      </c>
      <c r="EN70" s="10">
        <f t="shared" si="254"/>
        <v>4.505622491120481</v>
      </c>
      <c r="EO70" s="11">
        <v>5915434</v>
      </c>
      <c r="EP70" s="11">
        <f t="shared" si="162"/>
        <v>7216829.4799999995</v>
      </c>
      <c r="EQ70" s="11">
        <f t="shared" si="255"/>
        <v>20.958866794643555</v>
      </c>
      <c r="ER70" s="10">
        <f t="shared" si="256"/>
        <v>30.087827326388652</v>
      </c>
      <c r="ES70" s="10">
        <f t="shared" si="216"/>
        <v>4.6290213721264362</v>
      </c>
      <c r="ET70" s="12">
        <v>344580</v>
      </c>
      <c r="EU70" s="12">
        <f t="shared" si="163"/>
        <v>451399.80000000005</v>
      </c>
      <c r="EV70" s="12">
        <f t="shared" si="257"/>
        <v>1.302003886976552</v>
      </c>
      <c r="EW70" s="10">
        <v>99000</v>
      </c>
      <c r="EX70" s="10">
        <f t="shared" si="164"/>
        <v>126720</v>
      </c>
      <c r="EY70" s="10">
        <f t="shared" si="258"/>
        <v>0.36622054730782233</v>
      </c>
      <c r="EZ70" s="3">
        <f t="shared" si="217"/>
        <v>458273.11584051716</v>
      </c>
      <c r="FA70" s="3">
        <f t="shared" si="259"/>
        <v>1.33090094716602</v>
      </c>
      <c r="FB70" s="3">
        <f t="shared" si="260"/>
        <v>2.9991253814503942</v>
      </c>
      <c r="FC70" s="1">
        <f t="shared" si="218"/>
        <v>0.3523</v>
      </c>
      <c r="FD70">
        <f>3.6/10</f>
        <v>0.36</v>
      </c>
      <c r="FE70">
        <f>4.8</f>
        <v>4.8</v>
      </c>
      <c r="FF70" s="7">
        <f t="shared" si="219"/>
        <v>15.899999999999999</v>
      </c>
      <c r="FG70" s="1">
        <f t="shared" si="220"/>
        <v>2.2199999999999998</v>
      </c>
      <c r="FH70">
        <v>2.63E-2</v>
      </c>
      <c r="FI70">
        <v>3.4000000000000002E-2</v>
      </c>
      <c r="FJ70">
        <v>4.41E-2</v>
      </c>
      <c r="FK70">
        <v>4.0899999999999999E-2</v>
      </c>
      <c r="FL70" s="1">
        <f t="shared" si="221"/>
        <v>2.5666666666666672E-3</v>
      </c>
    </row>
    <row r="71" spans="1:168">
      <c r="A71" t="s">
        <v>117</v>
      </c>
      <c r="B71" s="1" t="s">
        <v>51</v>
      </c>
      <c r="C71" s="1">
        <v>236142</v>
      </c>
      <c r="D71" s="6">
        <f t="shared" si="223"/>
        <v>237374.7</v>
      </c>
      <c r="E71" s="6">
        <f t="shared" si="224"/>
        <v>238196.5</v>
      </c>
      <c r="F71" s="1">
        <v>240251</v>
      </c>
      <c r="G71" s="1">
        <f t="shared" si="144"/>
        <v>410.9</v>
      </c>
      <c r="H71" s="1">
        <v>1.31</v>
      </c>
      <c r="I71" s="1">
        <v>1.28</v>
      </c>
      <c r="J71" s="1">
        <v>1.22</v>
      </c>
      <c r="K71">
        <v>86877</v>
      </c>
      <c r="L71">
        <f t="shared" si="225"/>
        <v>0.36790151688390882</v>
      </c>
      <c r="M71" s="1">
        <v>79175</v>
      </c>
      <c r="N71">
        <f t="shared" si="226"/>
        <v>0.32955117772662756</v>
      </c>
      <c r="O71">
        <f t="shared" si="227"/>
        <v>-0.10424077476522797</v>
      </c>
      <c r="P71">
        <f t="shared" si="228"/>
        <v>0.15113996077182656</v>
      </c>
      <c r="Q71">
        <f t="shared" si="229"/>
        <v>0.16137979100381639</v>
      </c>
      <c r="R71">
        <f t="shared" si="230"/>
        <v>1297.2133712673669</v>
      </c>
      <c r="S71">
        <f t="shared" si="231"/>
        <v>1348.5161193896672</v>
      </c>
      <c r="T71">
        <f t="shared" si="232"/>
        <v>1631.0242048767268</v>
      </c>
      <c r="U71">
        <v>92297.113769999996</v>
      </c>
      <c r="V71">
        <f t="shared" si="233"/>
        <v>1.767145404937755E-2</v>
      </c>
      <c r="W71">
        <f t="shared" si="234"/>
        <v>1548.5666000141516</v>
      </c>
      <c r="X71">
        <v>79429.064259999999</v>
      </c>
      <c r="Y71">
        <f t="shared" si="235"/>
        <v>1.9496221118067487E-2</v>
      </c>
      <c r="Z71" s="1">
        <v>9727</v>
      </c>
      <c r="AA71" s="1">
        <f t="shared" si="236"/>
        <v>4.1191317088870257E-2</v>
      </c>
      <c r="AB71" s="1">
        <v>109292</v>
      </c>
      <c r="AC71" s="1">
        <f t="shared" si="145"/>
        <v>0.462823216539201</v>
      </c>
      <c r="AD71" s="1">
        <v>61.278341249999997</v>
      </c>
      <c r="AE71" s="1">
        <v>13727</v>
      </c>
      <c r="AF71">
        <f t="shared" si="165"/>
        <v>1.4112264829855043</v>
      </c>
      <c r="AG71">
        <f t="shared" si="166"/>
        <v>0.12559931193499982</v>
      </c>
      <c r="AH71">
        <f t="shared" si="222"/>
        <v>7.5528026232139734E-3</v>
      </c>
      <c r="AI71">
        <v>46739</v>
      </c>
      <c r="AJ71">
        <f t="shared" si="167"/>
        <v>61228.090000000004</v>
      </c>
      <c r="AK71">
        <f t="shared" si="146"/>
        <v>0.25793856716827868</v>
      </c>
      <c r="AL71">
        <f t="shared" si="168"/>
        <v>40.567501634999999</v>
      </c>
      <c r="AM71">
        <f t="shared" si="169"/>
        <v>6.3582561600426411E-3</v>
      </c>
      <c r="AN71">
        <v>72.27</v>
      </c>
      <c r="AO71">
        <f t="shared" si="170"/>
        <v>72270</v>
      </c>
      <c r="AP71">
        <f t="shared" si="171"/>
        <v>92505.600000000006</v>
      </c>
      <c r="AQ71">
        <f t="shared" si="147"/>
        <v>0.38835835119323753</v>
      </c>
      <c r="AR71">
        <f t="shared" si="172"/>
        <v>51.759606732800002</v>
      </c>
      <c r="AS71">
        <f t="shared" si="173"/>
        <v>7.5031163431760637E-3</v>
      </c>
      <c r="AT71" s="1">
        <v>9620</v>
      </c>
      <c r="AU71" s="1">
        <f t="shared" si="237"/>
        <v>4.0041456643260587E-2</v>
      </c>
      <c r="AV71" s="1">
        <f t="shared" si="238"/>
        <v>-2.7915117235237857E-2</v>
      </c>
      <c r="AW71" s="1">
        <v>91671</v>
      </c>
      <c r="AX71" s="1">
        <f t="shared" si="174"/>
        <v>111838.62</v>
      </c>
      <c r="AY71" s="1">
        <f t="shared" si="148"/>
        <v>0.46550740683701625</v>
      </c>
      <c r="AZ71" s="1">
        <f t="shared" si="239"/>
        <v>5.7996016662398729E-3</v>
      </c>
      <c r="BA71" s="1">
        <f t="shared" si="175"/>
        <v>60.4858519474</v>
      </c>
      <c r="BB71" s="1">
        <v>10098</v>
      </c>
      <c r="BC71" s="1">
        <f t="shared" si="176"/>
        <v>12319.56</v>
      </c>
      <c r="BD71" s="1">
        <f t="shared" si="177"/>
        <v>1.2806195426195426</v>
      </c>
      <c r="BE71" s="1">
        <f t="shared" si="178"/>
        <v>0.11015479268252773</v>
      </c>
      <c r="BF71" s="1">
        <f t="shared" si="179"/>
        <v>7.6961370609747396E-3</v>
      </c>
      <c r="BG71" s="1">
        <v>3066</v>
      </c>
      <c r="BH71" s="1">
        <f t="shared" si="240"/>
        <v>1.2983713189521559E-2</v>
      </c>
      <c r="BI71" s="1">
        <v>101783.788</v>
      </c>
      <c r="BJ71" s="1">
        <f t="shared" si="149"/>
        <v>0.43102788999839081</v>
      </c>
      <c r="BK71" s="1">
        <v>101.2013381</v>
      </c>
      <c r="BL71" s="1">
        <v>5469.7809999999999</v>
      </c>
      <c r="BM71">
        <f t="shared" si="150"/>
        <v>1.7840120678408349</v>
      </c>
      <c r="BN71">
        <f t="shared" si="151"/>
        <v>5.3739216308200277E-2</v>
      </c>
      <c r="BO71">
        <f t="shared" si="180"/>
        <v>4.2591125581015491E-3</v>
      </c>
      <c r="BP71">
        <v>37138</v>
      </c>
      <c r="BQ71">
        <f t="shared" si="181"/>
        <v>48650.78</v>
      </c>
      <c r="BR71">
        <f t="shared" si="152"/>
        <v>0.20495351863530525</v>
      </c>
      <c r="BS71">
        <f t="shared" si="182"/>
        <v>59.525235619600004</v>
      </c>
      <c r="BT71">
        <f t="shared" si="183"/>
        <v>3.4431366209967552E-3</v>
      </c>
      <c r="BU71">
        <v>47.74</v>
      </c>
      <c r="BV71">
        <f t="shared" si="184"/>
        <v>47740</v>
      </c>
      <c r="BW71">
        <f t="shared" si="185"/>
        <v>61107.200000000004</v>
      </c>
      <c r="BX71">
        <f t="shared" si="154"/>
        <v>0.25654113305611126</v>
      </c>
      <c r="BY71">
        <f t="shared" si="186"/>
        <v>76.247206297600002</v>
      </c>
      <c r="BZ71">
        <f t="shared" si="187"/>
        <v>3.364597150678638E-3</v>
      </c>
      <c r="CA71" s="1">
        <v>2134</v>
      </c>
      <c r="CB71" s="1">
        <f t="shared" si="241"/>
        <v>8.8823771805320272E-3</v>
      </c>
      <c r="CC71" s="1">
        <f t="shared" si="242"/>
        <v>-0.31588313367084347</v>
      </c>
      <c r="CD71" s="1">
        <v>68389</v>
      </c>
      <c r="CE71" s="1">
        <f t="shared" si="188"/>
        <v>83434.58</v>
      </c>
      <c r="CF71">
        <f t="shared" si="155"/>
        <v>0.34728088540734481</v>
      </c>
      <c r="CG71">
        <f t="shared" si="243"/>
        <v>-0.19429602244847466</v>
      </c>
      <c r="CH71">
        <f t="shared" si="189"/>
        <v>90.917938902799989</v>
      </c>
      <c r="CI71" s="1">
        <v>3470</v>
      </c>
      <c r="CJ71" s="1">
        <f t="shared" si="190"/>
        <v>4233.3999999999996</v>
      </c>
      <c r="CK71">
        <f t="shared" si="191"/>
        <v>1.9837863167760073</v>
      </c>
      <c r="CL71">
        <f t="shared" si="192"/>
        <v>5.0739153957507784E-2</v>
      </c>
      <c r="CM71">
        <f t="shared" si="193"/>
        <v>3.8197179742341216E-3</v>
      </c>
      <c r="CN71" s="1">
        <v>32048</v>
      </c>
      <c r="CO71" s="1">
        <f t="shared" si="244"/>
        <v>0.13571495117344648</v>
      </c>
      <c r="CP71" s="1">
        <v>384942242</v>
      </c>
      <c r="CQ71" s="1">
        <f t="shared" si="156"/>
        <v>1630.1303537701892</v>
      </c>
      <c r="CR71" s="1">
        <v>108123.0123</v>
      </c>
      <c r="CS71" s="1">
        <v>58149148</v>
      </c>
      <c r="CT71">
        <f t="shared" si="194"/>
        <v>1814.4392161757364</v>
      </c>
      <c r="CU71">
        <f t="shared" si="195"/>
        <v>0.15105941010236024</v>
      </c>
      <c r="CV71">
        <f t="shared" si="196"/>
        <v>1.5076627251627072E-2</v>
      </c>
      <c r="CW71" s="1">
        <v>33074</v>
      </c>
      <c r="CX71" s="1">
        <f t="shared" si="245"/>
        <v>0.13766435935750529</v>
      </c>
      <c r="CY71" s="1">
        <f t="shared" si="246"/>
        <v>1.4363989871443317E-2</v>
      </c>
      <c r="CZ71" s="1">
        <v>304794591</v>
      </c>
      <c r="DA71" s="1">
        <f t="shared" si="143"/>
        <v>371849401.01999998</v>
      </c>
      <c r="DB71" s="1">
        <f t="shared" si="157"/>
        <v>1547.7538117219074</v>
      </c>
      <c r="DC71" s="1">
        <f t="shared" si="247"/>
        <v>-5.0533714593903607E-2</v>
      </c>
      <c r="DD71" s="1">
        <f t="shared" si="197"/>
        <v>93954.54819500001</v>
      </c>
      <c r="DE71" s="1">
        <v>49536662</v>
      </c>
      <c r="DF71" s="1">
        <f t="shared" si="198"/>
        <v>60434727.640000001</v>
      </c>
      <c r="DG71">
        <f t="shared" si="199"/>
        <v>1827.2578956279858</v>
      </c>
      <c r="DH71">
        <f t="shared" si="200"/>
        <v>0.16252474112967447</v>
      </c>
      <c r="DI71">
        <f t="shared" si="201"/>
        <v>1.647343147784169E-2</v>
      </c>
      <c r="DJ71" s="1">
        <v>1707374</v>
      </c>
      <c r="DK71">
        <f t="shared" si="158"/>
        <v>7.230285167399277</v>
      </c>
      <c r="DL71">
        <v>1889.3069949999999</v>
      </c>
      <c r="DM71" s="1">
        <v>301765</v>
      </c>
      <c r="DN71" s="3">
        <f t="shared" si="202"/>
        <v>3.8269509330850051E-3</v>
      </c>
      <c r="DO71" s="1">
        <v>2086458</v>
      </c>
      <c r="DP71" s="1">
        <f t="shared" si="203"/>
        <v>2545478.7599999998</v>
      </c>
      <c r="DQ71" s="3">
        <f t="shared" si="159"/>
        <v>10.595080811318162</v>
      </c>
      <c r="DR71" s="3">
        <f t="shared" si="204"/>
        <v>1905.8896083399998</v>
      </c>
      <c r="DS71" s="3">
        <f t="shared" si="205"/>
        <v>313608.38543608616</v>
      </c>
      <c r="DT71" s="3">
        <f t="shared" si="206"/>
        <v>5.5591261765398437E-3</v>
      </c>
      <c r="DU71" s="3">
        <f t="shared" si="207"/>
        <v>1.0392470479879581</v>
      </c>
      <c r="DV71" s="3">
        <f t="shared" si="208"/>
        <v>608.02612603565728</v>
      </c>
      <c r="DW71" s="3">
        <f t="shared" si="209"/>
        <v>0.1089694376858784</v>
      </c>
      <c r="DX71" s="3">
        <f t="shared" si="210"/>
        <v>386860691.78799999</v>
      </c>
      <c r="DY71" s="3">
        <f t="shared" si="248"/>
        <v>1638.254490044126</v>
      </c>
      <c r="DZ71" s="3">
        <f t="shared" si="211"/>
        <v>386649616</v>
      </c>
      <c r="EA71" s="3">
        <f t="shared" si="212"/>
        <v>109878.87</v>
      </c>
      <c r="EB71" s="3">
        <f t="shared" si="249"/>
        <v>0.46289208580358393</v>
      </c>
      <c r="EC71" s="3">
        <f t="shared" si="213"/>
        <v>153612.80000000002</v>
      </c>
      <c r="ED71" s="3">
        <f t="shared" si="250"/>
        <v>0.64489948424934884</v>
      </c>
      <c r="EE71" s="9">
        <f t="shared" si="214"/>
        <v>374590152.97999996</v>
      </c>
      <c r="EF71" s="13">
        <f t="shared" si="251"/>
        <v>1559.1616808254698</v>
      </c>
      <c r="EG71" s="14">
        <f t="shared" si="252"/>
        <v>-4.8278707428737654E-2</v>
      </c>
      <c r="EH71" s="9">
        <f t="shared" si="215"/>
        <v>374394879.77999997</v>
      </c>
      <c r="EI71" s="10">
        <v>620975</v>
      </c>
      <c r="EJ71" s="10">
        <f t="shared" si="160"/>
        <v>813477.25</v>
      </c>
      <c r="EK71" s="10">
        <f t="shared" si="253"/>
        <v>3.4269753684786117</v>
      </c>
      <c r="EL71" s="10">
        <v>1008000</v>
      </c>
      <c r="EM71" s="10">
        <f t="shared" si="161"/>
        <v>1290240</v>
      </c>
      <c r="EN71" s="10">
        <f t="shared" si="254"/>
        <v>5.4167042756715569</v>
      </c>
      <c r="EO71" s="11">
        <v>2578917</v>
      </c>
      <c r="EP71" s="11">
        <f t="shared" si="162"/>
        <v>3146278.7399999998</v>
      </c>
      <c r="EQ71" s="11">
        <f t="shared" si="255"/>
        <v>13.095798727164507</v>
      </c>
      <c r="ER71" s="10">
        <f t="shared" si="256"/>
        <v>21.939478371314674</v>
      </c>
      <c r="ES71" s="10">
        <f t="shared" si="216"/>
        <v>2.4385220889136905</v>
      </c>
      <c r="ET71" s="12">
        <v>130711</v>
      </c>
      <c r="EU71" s="12">
        <f t="shared" si="163"/>
        <v>171231.41</v>
      </c>
      <c r="EV71" s="12">
        <f t="shared" si="257"/>
        <v>0.72135492956915792</v>
      </c>
      <c r="EW71" s="10">
        <v>15000</v>
      </c>
      <c r="EX71" s="10">
        <f t="shared" si="164"/>
        <v>19200</v>
      </c>
      <c r="EY71" s="10">
        <f t="shared" si="258"/>
        <v>8.0605718387969594E-2</v>
      </c>
      <c r="EZ71" s="3">
        <f t="shared" si="217"/>
        <v>36577.831333705355</v>
      </c>
      <c r="FA71" s="3">
        <f t="shared" si="259"/>
        <v>0.15224840410114987</v>
      </c>
      <c r="FB71" s="3">
        <f t="shared" si="260"/>
        <v>0.95420905205827733</v>
      </c>
      <c r="FC71" s="1">
        <f t="shared" si="218"/>
        <v>0.20929999999999999</v>
      </c>
      <c r="FD71">
        <f>2.17/10</f>
        <v>0.217</v>
      </c>
      <c r="FE71">
        <f>3.2</f>
        <v>3.2</v>
      </c>
      <c r="FF71" s="7">
        <f t="shared" si="219"/>
        <v>10.657500000000001</v>
      </c>
      <c r="FG71" s="1">
        <f t="shared" si="220"/>
        <v>1.4915</v>
      </c>
      <c r="FH71">
        <v>2.63E-2</v>
      </c>
      <c r="FI71">
        <v>3.4000000000000002E-2</v>
      </c>
      <c r="FJ71">
        <v>4.41E-2</v>
      </c>
      <c r="FK71">
        <v>4.0899999999999999E-2</v>
      </c>
      <c r="FL71" s="1">
        <f t="shared" si="221"/>
        <v>2.5666666666666672E-3</v>
      </c>
    </row>
    <row r="72" spans="1:168">
      <c r="A72" t="s">
        <v>117</v>
      </c>
      <c r="B72" s="1" t="s">
        <v>52</v>
      </c>
      <c r="C72" s="1">
        <v>273481</v>
      </c>
      <c r="D72" s="6">
        <f t="shared" si="223"/>
        <v>280080.7</v>
      </c>
      <c r="E72" s="6">
        <f t="shared" si="224"/>
        <v>284480.5</v>
      </c>
      <c r="F72" s="1">
        <v>295480</v>
      </c>
      <c r="G72" s="1">
        <f t="shared" si="144"/>
        <v>2199.9</v>
      </c>
      <c r="H72" s="1">
        <v>1.31</v>
      </c>
      <c r="I72" s="1">
        <v>1.28</v>
      </c>
      <c r="J72" s="1">
        <v>1.22</v>
      </c>
      <c r="K72">
        <v>115266</v>
      </c>
      <c r="L72">
        <f t="shared" si="225"/>
        <v>0.42147717757357916</v>
      </c>
      <c r="M72" s="1">
        <v>109988</v>
      </c>
      <c r="N72">
        <f t="shared" si="226"/>
        <v>0.37223500744551241</v>
      </c>
      <c r="O72">
        <f t="shared" si="227"/>
        <v>-0.11683235237445408</v>
      </c>
      <c r="P72">
        <f t="shared" si="228"/>
        <v>0.1949532741092693</v>
      </c>
      <c r="Q72">
        <f t="shared" si="229"/>
        <v>0.21400699914722437</v>
      </c>
      <c r="R72">
        <f t="shared" si="230"/>
        <v>1129.5546630592007</v>
      </c>
      <c r="S72">
        <f t="shared" si="231"/>
        <v>1272.1659310273046</v>
      </c>
      <c r="T72">
        <f t="shared" si="232"/>
        <v>1208.7463651112876</v>
      </c>
      <c r="U72">
        <v>92297.113769999996</v>
      </c>
      <c r="V72">
        <f t="shared" si="233"/>
        <v>1.3096253130118736E-2</v>
      </c>
      <c r="W72">
        <f t="shared" si="234"/>
        <v>1145.237319886287</v>
      </c>
      <c r="X72">
        <v>79429.064259999999</v>
      </c>
      <c r="Y72">
        <f t="shared" si="235"/>
        <v>1.4418366004382373E-2</v>
      </c>
      <c r="Z72" s="1">
        <v>11393</v>
      </c>
      <c r="AA72" s="1">
        <f t="shared" si="236"/>
        <v>4.1659201187651061E-2</v>
      </c>
      <c r="AB72" s="1">
        <v>134232</v>
      </c>
      <c r="AC72" s="1">
        <f t="shared" si="145"/>
        <v>0.49082751635396976</v>
      </c>
      <c r="AD72" s="1">
        <v>61.278341249999997</v>
      </c>
      <c r="AE72" s="1">
        <v>16119</v>
      </c>
      <c r="AF72">
        <f t="shared" si="165"/>
        <v>1.4148161151584306</v>
      </c>
      <c r="AG72">
        <f t="shared" si="166"/>
        <v>0.12008313963883425</v>
      </c>
      <c r="AH72">
        <f t="shared" si="222"/>
        <v>8.0098042202467381E-3</v>
      </c>
      <c r="AI72">
        <v>64472</v>
      </c>
      <c r="AJ72">
        <f t="shared" si="167"/>
        <v>84458.32</v>
      </c>
      <c r="AK72">
        <f t="shared" si="146"/>
        <v>0.30154994614052311</v>
      </c>
      <c r="AL72">
        <f t="shared" si="168"/>
        <v>40.567501634999999</v>
      </c>
      <c r="AM72">
        <f t="shared" si="169"/>
        <v>7.4332885681172439E-3</v>
      </c>
      <c r="AN72">
        <v>90.22</v>
      </c>
      <c r="AO72">
        <f t="shared" si="170"/>
        <v>90220</v>
      </c>
      <c r="AP72">
        <f t="shared" si="171"/>
        <v>115481.60000000001</v>
      </c>
      <c r="AQ72">
        <f t="shared" si="147"/>
        <v>0.40593854411813818</v>
      </c>
      <c r="AR72">
        <f t="shared" si="172"/>
        <v>51.759606732800002</v>
      </c>
      <c r="AS72">
        <f t="shared" si="173"/>
        <v>7.8427671642430658E-3</v>
      </c>
      <c r="AT72" s="1">
        <v>14491</v>
      </c>
      <c r="AU72" s="1">
        <f t="shared" si="237"/>
        <v>4.9042236361175037E-2</v>
      </c>
      <c r="AV72" s="1">
        <f t="shared" si="238"/>
        <v>0.17722459776095062</v>
      </c>
      <c r="AW72" s="1">
        <v>119899</v>
      </c>
      <c r="AX72" s="1">
        <f t="shared" si="174"/>
        <v>146276.78</v>
      </c>
      <c r="AY72" s="1">
        <f t="shared" si="148"/>
        <v>0.49504798971165559</v>
      </c>
      <c r="AZ72" s="1">
        <f t="shared" si="239"/>
        <v>8.5986893910042148E-3</v>
      </c>
      <c r="BA72" s="1">
        <f t="shared" si="175"/>
        <v>60.4858519474</v>
      </c>
      <c r="BB72" s="1">
        <v>14878</v>
      </c>
      <c r="BC72" s="1">
        <f t="shared" si="176"/>
        <v>18151.16</v>
      </c>
      <c r="BD72" s="1">
        <f t="shared" si="177"/>
        <v>1.2525816023738872</v>
      </c>
      <c r="BE72" s="1">
        <f t="shared" si="178"/>
        <v>0.12408777387634592</v>
      </c>
      <c r="BF72" s="1">
        <f t="shared" si="179"/>
        <v>8.1845253687120364E-3</v>
      </c>
      <c r="BG72" s="1">
        <v>3397</v>
      </c>
      <c r="BH72" s="1">
        <f t="shared" si="240"/>
        <v>1.2421338228249861E-2</v>
      </c>
      <c r="BI72" s="1">
        <v>116351.677</v>
      </c>
      <c r="BJ72" s="1">
        <f t="shared" si="149"/>
        <v>0.42544702191377098</v>
      </c>
      <c r="BK72" s="1">
        <v>101.2013381</v>
      </c>
      <c r="BL72" s="1">
        <v>5845.1210000000001</v>
      </c>
      <c r="BM72">
        <f t="shared" si="150"/>
        <v>1.720671474830733</v>
      </c>
      <c r="BN72">
        <f t="shared" si="151"/>
        <v>5.0236671706932079E-2</v>
      </c>
      <c r="BO72">
        <f t="shared" si="180"/>
        <v>4.2039663694305538E-3</v>
      </c>
      <c r="BP72">
        <v>50032</v>
      </c>
      <c r="BQ72">
        <f t="shared" si="181"/>
        <v>65541.919999999998</v>
      </c>
      <c r="BR72">
        <f t="shared" si="152"/>
        <v>0.23401084044705686</v>
      </c>
      <c r="BS72">
        <f t="shared" si="182"/>
        <v>59.525235619600004</v>
      </c>
      <c r="BT72">
        <f t="shared" si="183"/>
        <v>3.9312879321052804E-3</v>
      </c>
      <c r="BU72">
        <v>86.78</v>
      </c>
      <c r="BV72">
        <f t="shared" si="184"/>
        <v>86780</v>
      </c>
      <c r="BW72">
        <f t="shared" si="185"/>
        <v>111078.40000000001</v>
      </c>
      <c r="BX72">
        <f t="shared" si="154"/>
        <v>0.39046050608038163</v>
      </c>
      <c r="BY72">
        <f t="shared" si="186"/>
        <v>76.247206297600002</v>
      </c>
      <c r="BZ72">
        <f t="shared" si="187"/>
        <v>5.120981148560088E-3</v>
      </c>
      <c r="CA72" s="1">
        <v>3788</v>
      </c>
      <c r="CB72" s="1">
        <f t="shared" si="241"/>
        <v>1.2819818600243671E-2</v>
      </c>
      <c r="CC72" s="1">
        <f t="shared" si="242"/>
        <v>3.2080309276785179E-2</v>
      </c>
      <c r="CD72" s="1">
        <v>119164</v>
      </c>
      <c r="CE72" s="1">
        <f t="shared" si="188"/>
        <v>145380.07999999999</v>
      </c>
      <c r="CF72">
        <f t="shared" si="155"/>
        <v>0.49201326654934341</v>
      </c>
      <c r="CG72">
        <f t="shared" si="243"/>
        <v>0.15646188880613196</v>
      </c>
      <c r="CH72">
        <f t="shared" si="189"/>
        <v>90.917938902799989</v>
      </c>
      <c r="CI72" s="1">
        <v>6992</v>
      </c>
      <c r="CJ72" s="1">
        <f t="shared" si="190"/>
        <v>8530.24</v>
      </c>
      <c r="CK72">
        <f t="shared" si="191"/>
        <v>2.2519112988384373</v>
      </c>
      <c r="CL72">
        <f t="shared" si="192"/>
        <v>5.8675438890940221E-2</v>
      </c>
      <c r="CM72">
        <f t="shared" si="193"/>
        <v>5.4116192303408119E-3</v>
      </c>
      <c r="CN72" s="1">
        <v>42591</v>
      </c>
      <c r="CO72" s="1">
        <f t="shared" si="244"/>
        <v>0.15573659596096256</v>
      </c>
      <c r="CP72" s="1">
        <v>330318581</v>
      </c>
      <c r="CQ72" s="1">
        <f t="shared" si="156"/>
        <v>1207.8300905730198</v>
      </c>
      <c r="CR72" s="1">
        <v>108123.0123</v>
      </c>
      <c r="CS72" s="1">
        <v>64793012</v>
      </c>
      <c r="CT72">
        <f t="shared" si="194"/>
        <v>1521.2841210584395</v>
      </c>
      <c r="CU72">
        <f t="shared" si="195"/>
        <v>0.19615309500254846</v>
      </c>
      <c r="CV72">
        <f t="shared" si="196"/>
        <v>1.1170888276972466E-2</v>
      </c>
      <c r="CW72" s="1">
        <v>39367</v>
      </c>
      <c r="CX72" s="1">
        <f t="shared" si="245"/>
        <v>0.1332306755110329</v>
      </c>
      <c r="CY72" s="1">
        <f t="shared" si="246"/>
        <v>-0.14451272875882729</v>
      </c>
      <c r="CZ72" s="1">
        <v>277133661</v>
      </c>
      <c r="DA72" s="1">
        <f t="shared" si="143"/>
        <v>338103066.42000002</v>
      </c>
      <c r="DB72" s="1">
        <f t="shared" si="157"/>
        <v>1144.2502586300259</v>
      </c>
      <c r="DC72" s="1">
        <f t="shared" si="247"/>
        <v>-5.2639715171221069E-2</v>
      </c>
      <c r="DD72" s="1">
        <f t="shared" si="197"/>
        <v>93954.54819500001</v>
      </c>
      <c r="DE72" s="1">
        <v>60089013</v>
      </c>
      <c r="DF72" s="1">
        <f t="shared" si="198"/>
        <v>73308595.859999999</v>
      </c>
      <c r="DG72">
        <f t="shared" si="199"/>
        <v>1862.1839576294867</v>
      </c>
      <c r="DH72">
        <f t="shared" si="200"/>
        <v>0.21682322090783479</v>
      </c>
      <c r="DI72">
        <f t="shared" si="201"/>
        <v>1.2178763887567921E-2</v>
      </c>
      <c r="DJ72" s="1">
        <v>4060861</v>
      </c>
      <c r="DK72">
        <f t="shared" si="158"/>
        <v>14.848786570182206</v>
      </c>
      <c r="DL72">
        <v>1889.3069949999999</v>
      </c>
      <c r="DM72" s="1">
        <v>422243</v>
      </c>
      <c r="DN72" s="3">
        <f t="shared" si="202"/>
        <v>7.8593826252054966E-3</v>
      </c>
      <c r="DO72" s="1">
        <v>3510066</v>
      </c>
      <c r="DP72" s="1">
        <f t="shared" si="203"/>
        <v>4282280.5199999996</v>
      </c>
      <c r="DQ72" s="3">
        <f t="shared" si="159"/>
        <v>14.492623933937997</v>
      </c>
      <c r="DR72" s="3">
        <f t="shared" si="204"/>
        <v>1905.8896083399998</v>
      </c>
      <c r="DS72" s="3">
        <f t="shared" si="205"/>
        <v>477749.26921652368</v>
      </c>
      <c r="DT72" s="3">
        <f t="shared" si="206"/>
        <v>7.6041255855111393E-3</v>
      </c>
      <c r="DU72" s="3">
        <f t="shared" si="207"/>
        <v>1.1314557475589262</v>
      </c>
      <c r="DV72" s="3">
        <f t="shared" si="208"/>
        <v>565.01800986318801</v>
      </c>
      <c r="DW72" s="3">
        <f t="shared" si="209"/>
        <v>0.12767655667057262</v>
      </c>
      <c r="DX72" s="3">
        <f t="shared" si="210"/>
        <v>334630025.67699999</v>
      </c>
      <c r="DY72" s="3">
        <f t="shared" si="248"/>
        <v>1223.5951516814696</v>
      </c>
      <c r="DZ72" s="3">
        <f t="shared" si="211"/>
        <v>334379442</v>
      </c>
      <c r="EA72" s="3">
        <f t="shared" si="212"/>
        <v>150000.24</v>
      </c>
      <c r="EB72" s="3">
        <f t="shared" si="249"/>
        <v>0.53556078658757988</v>
      </c>
      <c r="EC72" s="3">
        <f t="shared" si="213"/>
        <v>226560</v>
      </c>
      <c r="ED72" s="3">
        <f t="shared" si="250"/>
        <v>0.79639905019851975</v>
      </c>
      <c r="EE72" s="9">
        <f t="shared" si="214"/>
        <v>342677003.80000001</v>
      </c>
      <c r="EF72" s="13">
        <f t="shared" si="251"/>
        <v>1159.7299438202247</v>
      </c>
      <c r="EG72" s="14">
        <f t="shared" si="252"/>
        <v>-5.2194721247040811E-2</v>
      </c>
      <c r="EH72" s="9">
        <f t="shared" si="215"/>
        <v>342385346.94</v>
      </c>
      <c r="EI72" s="10">
        <v>500490</v>
      </c>
      <c r="EJ72" s="10">
        <f t="shared" si="160"/>
        <v>655641.9</v>
      </c>
      <c r="EK72" s="10">
        <f t="shared" si="253"/>
        <v>2.3409035324461844</v>
      </c>
      <c r="EL72" s="10">
        <v>909000</v>
      </c>
      <c r="EM72" s="10">
        <f t="shared" si="161"/>
        <v>1163520</v>
      </c>
      <c r="EN72" s="10">
        <f t="shared" si="254"/>
        <v>4.0899815628839233</v>
      </c>
      <c r="EO72" s="11">
        <v>2892799</v>
      </c>
      <c r="EP72" s="11">
        <f t="shared" si="162"/>
        <v>3529214.78</v>
      </c>
      <c r="EQ72" s="11">
        <f t="shared" si="255"/>
        <v>11.944005617977528</v>
      </c>
      <c r="ER72" s="10">
        <f t="shared" si="256"/>
        <v>18.374890713307636</v>
      </c>
      <c r="ES72" s="10">
        <f t="shared" si="216"/>
        <v>3.0332222737898786</v>
      </c>
      <c r="ET72" s="12">
        <v>1194018</v>
      </c>
      <c r="EU72" s="12">
        <f t="shared" si="163"/>
        <v>1564163.58</v>
      </c>
      <c r="EV72" s="12">
        <f t="shared" si="257"/>
        <v>5.5846889128740393</v>
      </c>
      <c r="EW72" s="10">
        <v>504000</v>
      </c>
      <c r="EX72" s="10">
        <f t="shared" si="164"/>
        <v>645120</v>
      </c>
      <c r="EY72" s="10">
        <f t="shared" si="258"/>
        <v>2.2677125497178188</v>
      </c>
      <c r="EZ72" s="3">
        <f t="shared" si="217"/>
        <v>1528744.0259900987</v>
      </c>
      <c r="FA72" s="3">
        <f t="shared" si="259"/>
        <v>5.1737648097674924</v>
      </c>
      <c r="FB72" s="3">
        <f t="shared" si="260"/>
        <v>13.026166272359351</v>
      </c>
      <c r="FC72" s="1">
        <f t="shared" si="218"/>
        <v>0.33130000000000004</v>
      </c>
      <c r="FD72">
        <f>3.39/10</f>
        <v>0.33900000000000002</v>
      </c>
      <c r="FE72">
        <f>4.8</f>
        <v>4.8</v>
      </c>
      <c r="FF72" s="7">
        <f t="shared" si="219"/>
        <v>15.952499999999997</v>
      </c>
      <c r="FG72" s="1">
        <f t="shared" si="220"/>
        <v>2.2304999999999997</v>
      </c>
      <c r="FH72">
        <v>2.63E-2</v>
      </c>
      <c r="FI72">
        <v>3.4000000000000002E-2</v>
      </c>
      <c r="FJ72">
        <v>4.41E-2</v>
      </c>
      <c r="FK72">
        <v>4.0899999999999999E-2</v>
      </c>
      <c r="FL72" s="1">
        <f t="shared" si="221"/>
        <v>2.5666666666666672E-3</v>
      </c>
    </row>
    <row r="73" spans="1:168">
      <c r="A73" t="s">
        <v>117</v>
      </c>
      <c r="B73" s="1" t="s">
        <v>53</v>
      </c>
      <c r="C73" s="1">
        <v>221784</v>
      </c>
      <c r="D73" s="6">
        <f t="shared" si="223"/>
        <v>225714.9</v>
      </c>
      <c r="E73" s="6">
        <f t="shared" si="224"/>
        <v>228335.5</v>
      </c>
      <c r="F73" s="1">
        <v>234887</v>
      </c>
      <c r="G73" s="1">
        <f t="shared" si="144"/>
        <v>1310.3</v>
      </c>
      <c r="H73" s="1">
        <v>1.31</v>
      </c>
      <c r="I73" s="1">
        <v>1.28</v>
      </c>
      <c r="J73" s="1">
        <v>1.22</v>
      </c>
      <c r="K73">
        <v>84737</v>
      </c>
      <c r="L73">
        <f t="shared" si="225"/>
        <v>0.38206994192547705</v>
      </c>
      <c r="M73" s="1">
        <v>80522</v>
      </c>
      <c r="N73">
        <f t="shared" si="226"/>
        <v>0.34281164985716533</v>
      </c>
      <c r="O73">
        <f t="shared" si="227"/>
        <v>-0.10275158488120238</v>
      </c>
      <c r="P73">
        <f t="shared" si="228"/>
        <v>0.20013682622375228</v>
      </c>
      <c r="Q73">
        <f t="shared" si="229"/>
        <v>0.18415238506938925</v>
      </c>
      <c r="R73">
        <f t="shared" si="230"/>
        <v>1288.689554148523</v>
      </c>
      <c r="S73">
        <f t="shared" si="231"/>
        <v>1269.0198000098762</v>
      </c>
      <c r="T73">
        <f t="shared" si="232"/>
        <v>1226.475540485337</v>
      </c>
      <c r="U73">
        <v>92297.113769999996</v>
      </c>
      <c r="V73">
        <f t="shared" si="233"/>
        <v>1.3288341210123379E-2</v>
      </c>
      <c r="W73">
        <f t="shared" si="234"/>
        <v>1167.9793749334785</v>
      </c>
      <c r="X73">
        <v>79429.064259999999</v>
      </c>
      <c r="Y73">
        <f t="shared" si="235"/>
        <v>1.4704685064780071E-2</v>
      </c>
      <c r="Z73" s="1">
        <v>8126</v>
      </c>
      <c r="AA73" s="1">
        <f t="shared" si="236"/>
        <v>3.663925260613931E-2</v>
      </c>
      <c r="AB73" s="1">
        <v>103014</v>
      </c>
      <c r="AC73" s="1">
        <f t="shared" si="145"/>
        <v>0.46447895249431881</v>
      </c>
      <c r="AD73" s="1">
        <v>61.278341249999997</v>
      </c>
      <c r="AE73" s="1">
        <v>11398</v>
      </c>
      <c r="AF73">
        <f t="shared" si="165"/>
        <v>1.4026581343834605</v>
      </c>
      <c r="AG73">
        <f t="shared" si="166"/>
        <v>0.11064515502747199</v>
      </c>
      <c r="AH73">
        <f t="shared" si="222"/>
        <v>7.5798225444674355E-3</v>
      </c>
      <c r="AI73">
        <v>46435</v>
      </c>
      <c r="AJ73">
        <f t="shared" si="167"/>
        <v>60829.850000000006</v>
      </c>
      <c r="AK73">
        <f t="shared" si="146"/>
        <v>0.26949860199747561</v>
      </c>
      <c r="AL73">
        <f t="shared" si="168"/>
        <v>40.567501634999999</v>
      </c>
      <c r="AM73">
        <f t="shared" si="169"/>
        <v>6.6432141772556959E-3</v>
      </c>
      <c r="AN73">
        <v>67.11</v>
      </c>
      <c r="AO73">
        <f t="shared" si="170"/>
        <v>67110</v>
      </c>
      <c r="AP73">
        <f t="shared" si="171"/>
        <v>85900.800000000003</v>
      </c>
      <c r="AQ73">
        <f t="shared" si="147"/>
        <v>0.37620431338972699</v>
      </c>
      <c r="AR73">
        <f t="shared" si="172"/>
        <v>51.759606732800002</v>
      </c>
      <c r="AS73">
        <f t="shared" si="173"/>
        <v>7.2682993001051289E-3</v>
      </c>
      <c r="AT73" s="1">
        <v>9541</v>
      </c>
      <c r="AU73" s="1">
        <f t="shared" si="237"/>
        <v>4.0619531945148092E-2</v>
      </c>
      <c r="AV73" s="1">
        <f t="shared" si="238"/>
        <v>0.10863429398507553</v>
      </c>
      <c r="AW73" s="1">
        <v>86910</v>
      </c>
      <c r="AX73" s="1">
        <f t="shared" si="174"/>
        <v>106030.2</v>
      </c>
      <c r="AY73" s="1">
        <f t="shared" si="148"/>
        <v>0.45140940111628142</v>
      </c>
      <c r="AZ73" s="1">
        <f t="shared" si="239"/>
        <v>-2.8138091743128552E-2</v>
      </c>
      <c r="BA73" s="1">
        <f t="shared" si="175"/>
        <v>60.4858519474</v>
      </c>
      <c r="BB73" s="1">
        <v>9185</v>
      </c>
      <c r="BC73" s="1">
        <f t="shared" si="176"/>
        <v>11205.699999999999</v>
      </c>
      <c r="BD73" s="1">
        <f t="shared" si="177"/>
        <v>1.1744785661880306</v>
      </c>
      <c r="BE73" s="1">
        <f t="shared" si="178"/>
        <v>0.10568404096191461</v>
      </c>
      <c r="BF73" s="1">
        <f t="shared" si="179"/>
        <v>7.4630576669208236E-3</v>
      </c>
      <c r="BG73" s="1">
        <v>2157</v>
      </c>
      <c r="BH73" s="1">
        <f t="shared" si="240"/>
        <v>9.7256790390650369E-3</v>
      </c>
      <c r="BI73" s="1">
        <v>64235.271000000001</v>
      </c>
      <c r="BJ73" s="1">
        <f t="shared" si="149"/>
        <v>0.28962986960285686</v>
      </c>
      <c r="BK73" s="1">
        <v>101.2013381</v>
      </c>
      <c r="BL73" s="1">
        <v>3740.7080000000001</v>
      </c>
      <c r="BM73">
        <f t="shared" si="150"/>
        <v>1.7342178952248493</v>
      </c>
      <c r="BN73">
        <f t="shared" si="151"/>
        <v>5.8234486159480826E-2</v>
      </c>
      <c r="BO73">
        <f t="shared" si="180"/>
        <v>2.8619173920078518E-3</v>
      </c>
      <c r="BP73">
        <v>27072</v>
      </c>
      <c r="BQ73">
        <f t="shared" si="181"/>
        <v>35464.32</v>
      </c>
      <c r="BR73">
        <f t="shared" si="152"/>
        <v>0.15711997745828921</v>
      </c>
      <c r="BS73">
        <f t="shared" si="182"/>
        <v>59.525235619600004</v>
      </c>
      <c r="BT73">
        <f t="shared" si="183"/>
        <v>2.6395523818229789E-3</v>
      </c>
      <c r="BU73">
        <v>36.549999999999997</v>
      </c>
      <c r="BV73">
        <f t="shared" si="184"/>
        <v>36550</v>
      </c>
      <c r="BW73">
        <f t="shared" si="185"/>
        <v>46784</v>
      </c>
      <c r="BX73">
        <f t="shared" si="154"/>
        <v>0.20489148643115065</v>
      </c>
      <c r="BY73">
        <f t="shared" si="186"/>
        <v>76.247206297600002</v>
      </c>
      <c r="BZ73">
        <f t="shared" si="187"/>
        <v>2.6871999169574812E-3</v>
      </c>
      <c r="CA73" s="1">
        <v>2063</v>
      </c>
      <c r="CB73" s="1">
        <f t="shared" si="241"/>
        <v>8.7829466935164576E-3</v>
      </c>
      <c r="CC73" s="1">
        <f t="shared" si="242"/>
        <v>-9.6932290461356554E-2</v>
      </c>
      <c r="CD73" s="1">
        <v>49749</v>
      </c>
      <c r="CE73" s="1">
        <f t="shared" si="188"/>
        <v>60693.78</v>
      </c>
      <c r="CF73">
        <f t="shared" si="155"/>
        <v>0.25839565408047271</v>
      </c>
      <c r="CG73">
        <f t="shared" si="243"/>
        <v>-0.1078418312490103</v>
      </c>
      <c r="CH73">
        <f t="shared" si="189"/>
        <v>90.917938902799989</v>
      </c>
      <c r="CI73" s="1">
        <v>3300</v>
      </c>
      <c r="CJ73" s="1">
        <f t="shared" si="190"/>
        <v>4026</v>
      </c>
      <c r="CK73">
        <f t="shared" si="191"/>
        <v>1.9515269025690742</v>
      </c>
      <c r="CL73">
        <f t="shared" si="192"/>
        <v>6.6332991617921971E-2</v>
      </c>
      <c r="CM73">
        <f t="shared" si="193"/>
        <v>2.8420755815496707E-3</v>
      </c>
      <c r="CN73" s="1">
        <v>32202</v>
      </c>
      <c r="CO73" s="1">
        <f t="shared" si="244"/>
        <v>0.14519532518125744</v>
      </c>
      <c r="CP73" s="1">
        <v>271845402</v>
      </c>
      <c r="CQ73" s="1">
        <f t="shared" si="156"/>
        <v>1225.7214316632399</v>
      </c>
      <c r="CR73" s="1">
        <v>108123.0123</v>
      </c>
      <c r="CS73" s="1">
        <v>54734837</v>
      </c>
      <c r="CT73">
        <f t="shared" si="194"/>
        <v>1699.734084839451</v>
      </c>
      <c r="CU73">
        <f t="shared" si="195"/>
        <v>0.20134545810710458</v>
      </c>
      <c r="CV73">
        <f t="shared" si="196"/>
        <v>1.1336360369449676E-2</v>
      </c>
      <c r="CW73" s="1">
        <v>28898</v>
      </c>
      <c r="CX73" s="1">
        <f t="shared" si="245"/>
        <v>0.12302937157015927</v>
      </c>
      <c r="CY73" s="1">
        <f t="shared" si="246"/>
        <v>-0.15266299781640263</v>
      </c>
      <c r="CZ73" s="1">
        <v>224734793</v>
      </c>
      <c r="DA73" s="1">
        <f t="shared" si="143"/>
        <v>274176447.45999998</v>
      </c>
      <c r="DB73" s="1">
        <f t="shared" si="157"/>
        <v>1167.2695698782818</v>
      </c>
      <c r="DC73" s="1">
        <f t="shared" si="247"/>
        <v>-4.7687721104494304E-2</v>
      </c>
      <c r="DD73" s="1">
        <f t="shared" si="197"/>
        <v>93954.54819500001</v>
      </c>
      <c r="DE73" s="1">
        <v>42116892</v>
      </c>
      <c r="DF73" s="1">
        <f t="shared" si="198"/>
        <v>51382608.240000002</v>
      </c>
      <c r="DG73">
        <f t="shared" si="199"/>
        <v>1778.0679714859161</v>
      </c>
      <c r="DH73">
        <f t="shared" si="200"/>
        <v>0.18740708297891376</v>
      </c>
      <c r="DI73">
        <f t="shared" si="201"/>
        <v>1.2423768644554033E-2</v>
      </c>
      <c r="DJ73" s="1">
        <v>4187720</v>
      </c>
      <c r="DK73">
        <f t="shared" si="158"/>
        <v>18.881975255203262</v>
      </c>
      <c r="DL73">
        <v>1889.3069949999999</v>
      </c>
      <c r="DM73" s="1">
        <v>527890</v>
      </c>
      <c r="DN73" s="3">
        <f t="shared" si="202"/>
        <v>9.994127637897865E-3</v>
      </c>
      <c r="DO73" s="1">
        <v>3903087</v>
      </c>
      <c r="DP73" s="1">
        <f t="shared" si="203"/>
        <v>4761766.1399999997</v>
      </c>
      <c r="DQ73" s="3">
        <f t="shared" si="159"/>
        <v>20.272582731270781</v>
      </c>
      <c r="DR73" s="3">
        <f t="shared" si="204"/>
        <v>1905.8896083399998</v>
      </c>
      <c r="DS73" s="3">
        <f t="shared" si="205"/>
        <v>495569.27423370618</v>
      </c>
      <c r="DT73" s="3">
        <f t="shared" si="206"/>
        <v>1.0636808471256573E-2</v>
      </c>
      <c r="DU73" s="3">
        <f t="shared" si="207"/>
        <v>0.93877374876149611</v>
      </c>
      <c r="DV73" s="3">
        <f t="shared" si="208"/>
        <v>580.67748963728877</v>
      </c>
      <c r="DW73" s="3">
        <f t="shared" si="209"/>
        <v>0.12160820247546794</v>
      </c>
      <c r="DX73" s="3">
        <f t="shared" si="210"/>
        <v>276200371.27100003</v>
      </c>
      <c r="DY73" s="3">
        <f t="shared" si="248"/>
        <v>1245.3575157405405</v>
      </c>
      <c r="DZ73" s="3">
        <f t="shared" si="211"/>
        <v>276033122</v>
      </c>
      <c r="EA73" s="3">
        <f t="shared" si="212"/>
        <v>96294.170000000013</v>
      </c>
      <c r="EB73" s="3">
        <f t="shared" si="249"/>
        <v>0.42661857945576481</v>
      </c>
      <c r="EC73" s="3">
        <f t="shared" si="213"/>
        <v>132684.79999999999</v>
      </c>
      <c r="ED73" s="3">
        <f t="shared" si="250"/>
        <v>0.58109579982087756</v>
      </c>
      <c r="EE73" s="9">
        <f t="shared" si="214"/>
        <v>279104937.57999998</v>
      </c>
      <c r="EF73" s="13">
        <f t="shared" si="251"/>
        <v>1188.2519576647494</v>
      </c>
      <c r="EG73" s="14">
        <f t="shared" si="252"/>
        <v>-4.5854750426293306E-2</v>
      </c>
      <c r="EH73" s="9">
        <f t="shared" si="215"/>
        <v>278938213.59999996</v>
      </c>
      <c r="EI73" s="10">
        <v>341517</v>
      </c>
      <c r="EJ73" s="10">
        <f t="shared" si="160"/>
        <v>447387.27</v>
      </c>
      <c r="EK73" s="10">
        <f t="shared" si="253"/>
        <v>1.9820901057041429</v>
      </c>
      <c r="EL73" s="10">
        <v>564000</v>
      </c>
      <c r="EM73" s="10">
        <f t="shared" si="161"/>
        <v>721920</v>
      </c>
      <c r="EN73" s="10">
        <f t="shared" si="254"/>
        <v>3.161663429471107</v>
      </c>
      <c r="EO73" s="11">
        <v>2340451</v>
      </c>
      <c r="EP73" s="11">
        <f t="shared" si="162"/>
        <v>2855350.2199999997</v>
      </c>
      <c r="EQ73" s="11">
        <f t="shared" si="255"/>
        <v>12.156271824324035</v>
      </c>
      <c r="ER73" s="10">
        <f t="shared" si="256"/>
        <v>17.300025359499287</v>
      </c>
      <c r="ES73" s="10">
        <f t="shared" si="216"/>
        <v>3.9552169492464535</v>
      </c>
      <c r="ET73" s="12">
        <v>255716</v>
      </c>
      <c r="EU73" s="12">
        <f t="shared" si="163"/>
        <v>334987.96000000002</v>
      </c>
      <c r="EV73" s="12">
        <f t="shared" si="257"/>
        <v>1.4841198343574129</v>
      </c>
      <c r="EW73" s="10">
        <v>41000</v>
      </c>
      <c r="EX73" s="10">
        <f t="shared" si="164"/>
        <v>52480</v>
      </c>
      <c r="EY73" s="10">
        <f t="shared" si="258"/>
        <v>0.22983723512112658</v>
      </c>
      <c r="EZ73" s="3">
        <f t="shared" si="217"/>
        <v>162163.89491910458</v>
      </c>
      <c r="FA73" s="3">
        <f t="shared" si="259"/>
        <v>0.69039110261148795</v>
      </c>
      <c r="FB73" s="3">
        <f t="shared" si="260"/>
        <v>2.4043481720900273</v>
      </c>
      <c r="FC73" s="1">
        <f t="shared" si="218"/>
        <v>0.21829999999999997</v>
      </c>
      <c r="FD73">
        <f>2.26/10</f>
        <v>0.22599999999999998</v>
      </c>
      <c r="FE73">
        <f>3.6</f>
        <v>3.6</v>
      </c>
      <c r="FF73" s="7">
        <f t="shared" si="219"/>
        <v>12.035</v>
      </c>
      <c r="FG73" s="1">
        <f t="shared" si="220"/>
        <v>1.6870000000000001</v>
      </c>
      <c r="FH73">
        <v>2.63E-2</v>
      </c>
      <c r="FI73">
        <v>3.4000000000000002E-2</v>
      </c>
      <c r="FJ73">
        <v>4.41E-2</v>
      </c>
      <c r="FK73">
        <v>4.0899999999999999E-2</v>
      </c>
      <c r="FL73" s="1">
        <f t="shared" si="221"/>
        <v>2.5666666666666672E-3</v>
      </c>
    </row>
    <row r="74" spans="1:168">
      <c r="A74" t="s">
        <v>117</v>
      </c>
      <c r="B74" s="1" t="s">
        <v>54</v>
      </c>
      <c r="C74" s="1">
        <v>344131</v>
      </c>
      <c r="D74" s="6">
        <f t="shared" si="223"/>
        <v>342713.2</v>
      </c>
      <c r="E74" s="6">
        <f t="shared" si="224"/>
        <v>341768</v>
      </c>
      <c r="F74" s="1">
        <v>339405</v>
      </c>
      <c r="G74" s="1">
        <f t="shared" si="144"/>
        <v>-472.6</v>
      </c>
      <c r="H74" s="1">
        <v>1.31</v>
      </c>
      <c r="I74" s="1">
        <v>1.28</v>
      </c>
      <c r="J74" s="1">
        <v>1.22</v>
      </c>
      <c r="K74">
        <v>138976</v>
      </c>
      <c r="L74">
        <f t="shared" si="225"/>
        <v>0.40384620972827207</v>
      </c>
      <c r="M74" s="1">
        <v>112556</v>
      </c>
      <c r="N74">
        <f t="shared" si="226"/>
        <v>0.33162740678540387</v>
      </c>
      <c r="O74">
        <f t="shared" si="227"/>
        <v>-0.17882748730379475</v>
      </c>
      <c r="P74">
        <f t="shared" si="228"/>
        <v>0.17907790250094274</v>
      </c>
      <c r="Q74">
        <f t="shared" si="229"/>
        <v>0.19530279194509656</v>
      </c>
      <c r="R74">
        <f t="shared" si="230"/>
        <v>1288.7748811282902</v>
      </c>
      <c r="S74">
        <f t="shared" si="231"/>
        <v>1387.2687007375271</v>
      </c>
      <c r="T74">
        <f t="shared" si="232"/>
        <v>1741.5680200156335</v>
      </c>
      <c r="U74">
        <v>92297.113769999996</v>
      </c>
      <c r="V74">
        <f t="shared" si="233"/>
        <v>1.8869149303579934E-2</v>
      </c>
      <c r="W74">
        <f t="shared" si="234"/>
        <v>1197.5267304842298</v>
      </c>
      <c r="X74">
        <v>79429.064259999999</v>
      </c>
      <c r="Y74">
        <f t="shared" si="235"/>
        <v>1.5076681837322073E-2</v>
      </c>
      <c r="Z74" s="1">
        <v>13243</v>
      </c>
      <c r="AA74" s="1">
        <f t="shared" si="236"/>
        <v>3.848243837375883E-2</v>
      </c>
      <c r="AB74" s="1">
        <v>165831</v>
      </c>
      <c r="AC74" s="1">
        <f t="shared" si="145"/>
        <v>0.48188335256050746</v>
      </c>
      <c r="AD74" s="1">
        <v>61.278341249999997</v>
      </c>
      <c r="AE74" s="1">
        <v>19604</v>
      </c>
      <c r="AF74">
        <f t="shared" si="165"/>
        <v>1.4803292305368874</v>
      </c>
      <c r="AG74">
        <f t="shared" si="166"/>
        <v>0.11821673872798211</v>
      </c>
      <c r="AH74">
        <f t="shared" si="222"/>
        <v>7.8638445938761029E-3</v>
      </c>
      <c r="AI74">
        <v>82503</v>
      </c>
      <c r="AJ74">
        <f t="shared" si="167"/>
        <v>108078.93000000001</v>
      </c>
      <c r="AK74">
        <f t="shared" si="146"/>
        <v>0.31536261223670403</v>
      </c>
      <c r="AL74">
        <f t="shared" si="168"/>
        <v>40.567501634999999</v>
      </c>
      <c r="AM74">
        <f t="shared" si="169"/>
        <v>7.773774561572259E-3</v>
      </c>
      <c r="AN74">
        <v>112.96</v>
      </c>
      <c r="AO74">
        <f t="shared" si="170"/>
        <v>112960</v>
      </c>
      <c r="AP74">
        <f t="shared" si="171"/>
        <v>144588.80000000002</v>
      </c>
      <c r="AQ74">
        <f t="shared" si="147"/>
        <v>0.42306125792935562</v>
      </c>
      <c r="AR74">
        <f t="shared" si="172"/>
        <v>51.759606732800002</v>
      </c>
      <c r="AS74">
        <f t="shared" si="173"/>
        <v>8.1735794499625172E-3</v>
      </c>
      <c r="AT74" s="1">
        <v>14425</v>
      </c>
      <c r="AU74" s="1">
        <f t="shared" si="237"/>
        <v>4.250084707060886E-2</v>
      </c>
      <c r="AV74" s="1">
        <f t="shared" si="238"/>
        <v>0.10442188350492318</v>
      </c>
      <c r="AW74" s="1">
        <v>131173</v>
      </c>
      <c r="AX74" s="1">
        <f t="shared" si="174"/>
        <v>160031.06</v>
      </c>
      <c r="AY74" s="1">
        <f t="shared" si="148"/>
        <v>0.47150472149791545</v>
      </c>
      <c r="AZ74" s="1">
        <f t="shared" si="239"/>
        <v>-2.1537641853458356E-2</v>
      </c>
      <c r="BA74" s="1">
        <f t="shared" si="175"/>
        <v>60.4858519474</v>
      </c>
      <c r="BB74" s="1">
        <v>15693</v>
      </c>
      <c r="BC74" s="1">
        <f t="shared" si="176"/>
        <v>19145.46</v>
      </c>
      <c r="BD74" s="1">
        <f t="shared" si="177"/>
        <v>1.3272415944540727</v>
      </c>
      <c r="BE74" s="1">
        <f t="shared" si="178"/>
        <v>0.11963590068078034</v>
      </c>
      <c r="BF74" s="1">
        <f t="shared" si="179"/>
        <v>7.7952894159108096E-3</v>
      </c>
      <c r="BG74" s="1">
        <v>2700</v>
      </c>
      <c r="BH74" s="1">
        <f t="shared" si="240"/>
        <v>7.8458494003736945E-3</v>
      </c>
      <c r="BI74" s="1">
        <v>108418.296</v>
      </c>
      <c r="BJ74" s="1">
        <f t="shared" si="149"/>
        <v>0.31504948987449549</v>
      </c>
      <c r="BK74" s="1">
        <v>101.2013381</v>
      </c>
      <c r="BL74" s="1">
        <v>5376.88</v>
      </c>
      <c r="BM74">
        <f t="shared" si="150"/>
        <v>1.9914370370370371</v>
      </c>
      <c r="BN74">
        <f t="shared" si="151"/>
        <v>4.9593843459779151E-2</v>
      </c>
      <c r="BO74">
        <f t="shared" si="180"/>
        <v>3.1130960893341734E-3</v>
      </c>
      <c r="BP74">
        <v>132237</v>
      </c>
      <c r="BQ74">
        <f t="shared" si="181"/>
        <v>173230.47</v>
      </c>
      <c r="BR74">
        <f t="shared" si="152"/>
        <v>0.50546774971025332</v>
      </c>
      <c r="BS74">
        <f t="shared" si="182"/>
        <v>59.525235619600004</v>
      </c>
      <c r="BT74">
        <f t="shared" si="183"/>
        <v>8.4916547485923248E-3</v>
      </c>
      <c r="BU74">
        <v>73.61</v>
      </c>
      <c r="BV74">
        <f t="shared" si="184"/>
        <v>73610</v>
      </c>
      <c r="BW74">
        <f t="shared" si="185"/>
        <v>94220.800000000003</v>
      </c>
      <c r="BX74">
        <f t="shared" si="154"/>
        <v>0.27568643056108239</v>
      </c>
      <c r="BY74">
        <f t="shared" si="186"/>
        <v>76.247206297600002</v>
      </c>
      <c r="BZ74">
        <f t="shared" si="187"/>
        <v>3.6156922193982081E-3</v>
      </c>
      <c r="CA74" s="1">
        <v>3045</v>
      </c>
      <c r="CB74" s="1">
        <f t="shared" si="241"/>
        <v>8.9715826225306057E-3</v>
      </c>
      <c r="CC74" s="1">
        <f t="shared" si="242"/>
        <v>0.14348137017558521</v>
      </c>
      <c r="CD74" s="1">
        <v>96098</v>
      </c>
      <c r="CE74" s="1">
        <f t="shared" si="188"/>
        <v>117239.56</v>
      </c>
      <c r="CF74">
        <f t="shared" si="155"/>
        <v>0.34542673207524932</v>
      </c>
      <c r="CG74">
        <f t="shared" si="243"/>
        <v>9.6420540826316029E-2</v>
      </c>
      <c r="CH74">
        <f t="shared" si="189"/>
        <v>90.917938902799989</v>
      </c>
      <c r="CI74" s="1">
        <v>5147</v>
      </c>
      <c r="CJ74" s="1">
        <f t="shared" si="190"/>
        <v>6279.34</v>
      </c>
      <c r="CK74">
        <f t="shared" si="191"/>
        <v>2.0621806239737275</v>
      </c>
      <c r="CL74">
        <f t="shared" si="192"/>
        <v>5.355990759433079E-2</v>
      </c>
      <c r="CM74">
        <f t="shared" si="193"/>
        <v>3.7993242724578664E-3</v>
      </c>
      <c r="CN74" s="1">
        <v>67298</v>
      </c>
      <c r="CO74" s="1">
        <f t="shared" si="244"/>
        <v>0.1955592492393885</v>
      </c>
      <c r="CP74" s="1">
        <v>599053295</v>
      </c>
      <c r="CQ74" s="1">
        <f t="shared" si="156"/>
        <v>1740.7710871731986</v>
      </c>
      <c r="CR74" s="1">
        <v>108123.0123</v>
      </c>
      <c r="CS74" s="1">
        <v>107253929</v>
      </c>
      <c r="CT74">
        <f t="shared" si="194"/>
        <v>1593.7164403102618</v>
      </c>
      <c r="CU74">
        <f t="shared" si="195"/>
        <v>0.1790390435962797</v>
      </c>
      <c r="CV74">
        <f t="shared" si="196"/>
        <v>1.6099912961574033E-2</v>
      </c>
      <c r="CW74" s="1">
        <v>40155</v>
      </c>
      <c r="CX74" s="1">
        <f t="shared" si="245"/>
        <v>0.11830998364785433</v>
      </c>
      <c r="CY74" s="1">
        <f t="shared" si="246"/>
        <v>-0.39501719244673306</v>
      </c>
      <c r="CZ74" s="1">
        <v>332925647</v>
      </c>
      <c r="DA74" s="1">
        <f t="shared" si="143"/>
        <v>406169289.33999997</v>
      </c>
      <c r="DB74" s="1">
        <f t="shared" si="157"/>
        <v>1196.7097990306565</v>
      </c>
      <c r="DC74" s="1">
        <f t="shared" si="247"/>
        <v>-0.31254039784520532</v>
      </c>
      <c r="DD74" s="1">
        <f t="shared" si="197"/>
        <v>93954.54819500001</v>
      </c>
      <c r="DE74" s="1">
        <v>65504864</v>
      </c>
      <c r="DF74" s="1">
        <f t="shared" si="198"/>
        <v>79915934.079999998</v>
      </c>
      <c r="DG74">
        <f t="shared" si="199"/>
        <v>1990.1863797783587</v>
      </c>
      <c r="DH74">
        <f t="shared" si="200"/>
        <v>0.19675523526128344</v>
      </c>
      <c r="DI74">
        <f t="shared" si="201"/>
        <v>1.2737114083577084E-2</v>
      </c>
      <c r="DJ74" s="1">
        <v>1686832</v>
      </c>
      <c r="DK74">
        <f t="shared" si="158"/>
        <v>4.9017147539745043</v>
      </c>
      <c r="DL74">
        <v>1889.3069949999999</v>
      </c>
      <c r="DM74" s="1">
        <v>349484</v>
      </c>
      <c r="DN74" s="3">
        <f t="shared" si="202"/>
        <v>2.5944511754557413E-3</v>
      </c>
      <c r="DO74" s="1">
        <v>2355363</v>
      </c>
      <c r="DP74" s="1">
        <f t="shared" si="203"/>
        <v>2873542.86</v>
      </c>
      <c r="DQ74" s="3">
        <f t="shared" si="159"/>
        <v>8.4664128695805889</v>
      </c>
      <c r="DR74" s="3">
        <f t="shared" si="204"/>
        <v>1905.8896083399998</v>
      </c>
      <c r="DS74" s="3">
        <f t="shared" si="205"/>
        <v>260426.07906874749</v>
      </c>
      <c r="DT74" s="3">
        <f t="shared" si="206"/>
        <v>4.4422367552309095E-3</v>
      </c>
      <c r="DU74" s="3">
        <f t="shared" si="207"/>
        <v>0.7451731096952865</v>
      </c>
      <c r="DV74" s="3">
        <f t="shared" si="208"/>
        <v>598.4606680957703</v>
      </c>
      <c r="DW74" s="3">
        <f t="shared" si="209"/>
        <v>0.11946677822007258</v>
      </c>
      <c r="DX74" s="3">
        <f t="shared" si="210"/>
        <v>601014376.296</v>
      </c>
      <c r="DY74" s="3">
        <f t="shared" si="248"/>
        <v>1746.4697347696081</v>
      </c>
      <c r="DZ74" s="3">
        <f t="shared" si="211"/>
        <v>600740127</v>
      </c>
      <c r="EA74" s="3">
        <f t="shared" si="212"/>
        <v>281309.40000000002</v>
      </c>
      <c r="EB74" s="3">
        <f t="shared" si="249"/>
        <v>0.82083036194695747</v>
      </c>
      <c r="EC74" s="3">
        <f t="shared" si="213"/>
        <v>238809.60000000003</v>
      </c>
      <c r="ED74" s="3">
        <f t="shared" si="250"/>
        <v>0.69874768849043811</v>
      </c>
      <c r="EE74" s="9">
        <f t="shared" si="214"/>
        <v>409320102.81999999</v>
      </c>
      <c r="EF74" s="13">
        <f t="shared" si="251"/>
        <v>1205.9931433538104</v>
      </c>
      <c r="EG74" s="14">
        <f t="shared" si="252"/>
        <v>-0.30946805470241751</v>
      </c>
      <c r="EH74" s="9">
        <f t="shared" si="215"/>
        <v>409042832.19999999</v>
      </c>
      <c r="EI74" s="10">
        <v>701016</v>
      </c>
      <c r="EJ74" s="10">
        <f t="shared" si="160"/>
        <v>918330.96000000008</v>
      </c>
      <c r="EK74" s="10">
        <f t="shared" si="253"/>
        <v>2.6795902813197743</v>
      </c>
      <c r="EL74" s="10">
        <v>1235000</v>
      </c>
      <c r="EM74" s="10">
        <f t="shared" si="161"/>
        <v>1580800</v>
      </c>
      <c r="EN74" s="10">
        <f t="shared" si="254"/>
        <v>4.6253598932609252</v>
      </c>
      <c r="EO74" s="11">
        <v>6795739</v>
      </c>
      <c r="EP74" s="11">
        <f t="shared" si="162"/>
        <v>8290801.5800000001</v>
      </c>
      <c r="EQ74" s="11">
        <f t="shared" si="255"/>
        <v>24.427458581930143</v>
      </c>
      <c r="ER74" s="10">
        <f t="shared" si="256"/>
        <v>31.732408756510843</v>
      </c>
      <c r="ES74" s="10">
        <f t="shared" si="216"/>
        <v>5.2446872343117406</v>
      </c>
      <c r="ET74" s="12">
        <v>89263</v>
      </c>
      <c r="EU74" s="12">
        <f t="shared" si="163"/>
        <v>116934.53</v>
      </c>
      <c r="EV74" s="12">
        <f t="shared" si="257"/>
        <v>0.34120229392973483</v>
      </c>
      <c r="EW74" s="10">
        <v>20000</v>
      </c>
      <c r="EX74" s="10">
        <f t="shared" si="164"/>
        <v>25600</v>
      </c>
      <c r="EY74" s="10">
        <f t="shared" si="258"/>
        <v>7.4904613656047378E-2</v>
      </c>
      <c r="EZ74" s="3">
        <f t="shared" si="217"/>
        <v>104893.74468623482</v>
      </c>
      <c r="FA74" s="3">
        <f t="shared" si="259"/>
        <v>0.30905185452846839</v>
      </c>
      <c r="FB74" s="3">
        <f t="shared" si="260"/>
        <v>0.72515876211425057</v>
      </c>
      <c r="FC74" s="1">
        <f t="shared" si="218"/>
        <v>0.26530000000000004</v>
      </c>
      <c r="FD74">
        <f>2.73/10</f>
        <v>0.27300000000000002</v>
      </c>
      <c r="FE74">
        <f>4.2</f>
        <v>4.2</v>
      </c>
      <c r="FF74" s="7">
        <f t="shared" si="219"/>
        <v>14.017500000000002</v>
      </c>
      <c r="FG74" s="1">
        <f t="shared" si="220"/>
        <v>1.9635</v>
      </c>
      <c r="FH74">
        <v>2.63E-2</v>
      </c>
      <c r="FI74">
        <v>3.4000000000000002E-2</v>
      </c>
      <c r="FJ74">
        <v>4.41E-2</v>
      </c>
      <c r="FK74">
        <v>4.0899999999999999E-2</v>
      </c>
      <c r="FL74" s="1">
        <f t="shared" si="221"/>
        <v>2.5666666666666672E-3</v>
      </c>
    </row>
    <row r="75" spans="1:168">
      <c r="A75" t="s">
        <v>134</v>
      </c>
      <c r="B75" s="1" t="s">
        <v>91</v>
      </c>
      <c r="C75" s="1">
        <v>187574</v>
      </c>
      <c r="D75" s="6">
        <f t="shared" si="223"/>
        <v>189310.7</v>
      </c>
      <c r="E75" s="6">
        <f t="shared" si="224"/>
        <v>190468.5</v>
      </c>
      <c r="F75" s="1">
        <v>193363</v>
      </c>
      <c r="G75" s="1">
        <f t="shared" si="144"/>
        <v>578.9</v>
      </c>
      <c r="H75" s="1">
        <v>1.31</v>
      </c>
      <c r="I75" s="1">
        <v>1.28</v>
      </c>
      <c r="J75" s="1">
        <v>1.22</v>
      </c>
      <c r="K75">
        <v>80139</v>
      </c>
      <c r="L75">
        <f t="shared" si="225"/>
        <v>0.42723938285689916</v>
      </c>
      <c r="M75" s="1">
        <v>70052</v>
      </c>
      <c r="N75">
        <f t="shared" si="226"/>
        <v>0.3622823394341213</v>
      </c>
      <c r="O75">
        <f t="shared" si="227"/>
        <v>-0.1520389880455725</v>
      </c>
      <c r="P75">
        <f t="shared" si="228"/>
        <v>0.10770634231867492</v>
      </c>
      <c r="Q75">
        <f t="shared" si="229"/>
        <v>0.10583189555563285</v>
      </c>
      <c r="R75">
        <f t="shared" si="230"/>
        <v>499.14831287139509</v>
      </c>
      <c r="S75">
        <f t="shared" si="231"/>
        <v>488.56704045273517</v>
      </c>
      <c r="T75">
        <f t="shared" si="232"/>
        <v>463.09295900817807</v>
      </c>
      <c r="U75">
        <v>92297.113769999996</v>
      </c>
      <c r="V75">
        <f t="shared" si="233"/>
        <v>5.0174153891982326E-3</v>
      </c>
      <c r="W75">
        <f t="shared" si="234"/>
        <v>445.7281543004608</v>
      </c>
      <c r="X75">
        <v>79429.064259999999</v>
      </c>
      <c r="Y75">
        <f t="shared" si="235"/>
        <v>5.6116505771921432E-3</v>
      </c>
      <c r="Z75" s="1">
        <v>9540</v>
      </c>
      <c r="AA75" s="1">
        <f t="shared" si="236"/>
        <v>5.0859927282032688E-2</v>
      </c>
      <c r="AB75" s="1">
        <v>101490</v>
      </c>
      <c r="AC75" s="1">
        <f t="shared" si="145"/>
        <v>0.5410664591041402</v>
      </c>
      <c r="AD75" s="1">
        <v>61.278341249999997</v>
      </c>
      <c r="AE75" s="1">
        <v>13235</v>
      </c>
      <c r="AF75">
        <f t="shared" si="165"/>
        <v>1.3873165618448637</v>
      </c>
      <c r="AG75">
        <f t="shared" si="166"/>
        <v>0.13040693664400432</v>
      </c>
      <c r="AH75">
        <f t="shared" si="222"/>
        <v>8.8296525014723726E-3</v>
      </c>
      <c r="AI75">
        <v>48967</v>
      </c>
      <c r="AJ75">
        <f t="shared" si="167"/>
        <v>64146.770000000004</v>
      </c>
      <c r="AK75">
        <f t="shared" si="146"/>
        <v>0.33884386883572876</v>
      </c>
      <c r="AL75">
        <f t="shared" si="168"/>
        <v>40.567501634999999</v>
      </c>
      <c r="AM75">
        <f t="shared" si="169"/>
        <v>8.352593952775933E-3</v>
      </c>
      <c r="AN75">
        <v>61.04</v>
      </c>
      <c r="AO75">
        <f t="shared" si="170"/>
        <v>61040</v>
      </c>
      <c r="AP75">
        <f t="shared" si="171"/>
        <v>78131.199999999997</v>
      </c>
      <c r="AQ75">
        <f t="shared" si="147"/>
        <v>0.41020536204149238</v>
      </c>
      <c r="AR75">
        <f t="shared" si="172"/>
        <v>51.759606732800002</v>
      </c>
      <c r="AS75">
        <f t="shared" si="173"/>
        <v>7.925202449066247E-3</v>
      </c>
      <c r="AT75" s="1">
        <v>9581</v>
      </c>
      <c r="AU75" s="1">
        <f t="shared" si="237"/>
        <v>4.954929329809736E-2</v>
      </c>
      <c r="AV75" s="1">
        <f t="shared" si="238"/>
        <v>-2.5769482065270979E-2</v>
      </c>
      <c r="AW75" s="1">
        <v>74274</v>
      </c>
      <c r="AX75" s="1">
        <f t="shared" si="174"/>
        <v>90614.28</v>
      </c>
      <c r="AY75" s="1">
        <f t="shared" si="148"/>
        <v>0.46862264238763363</v>
      </c>
      <c r="AZ75" s="1">
        <f t="shared" si="239"/>
        <v>-0.13389079196750422</v>
      </c>
      <c r="BA75" s="1">
        <f t="shared" si="175"/>
        <v>60.4858519474</v>
      </c>
      <c r="BB75" s="1">
        <v>9024</v>
      </c>
      <c r="BC75" s="1">
        <f t="shared" si="176"/>
        <v>11009.28</v>
      </c>
      <c r="BD75" s="1">
        <f t="shared" si="177"/>
        <v>1.1490742093727169</v>
      </c>
      <c r="BE75" s="1">
        <f t="shared" si="178"/>
        <v>0.12149608207448098</v>
      </c>
      <c r="BF75" s="1">
        <f t="shared" si="179"/>
        <v>7.7476406018908272E-3</v>
      </c>
      <c r="BG75" s="1">
        <v>2666</v>
      </c>
      <c r="BH75" s="1">
        <f t="shared" si="240"/>
        <v>1.4213057246739953E-2</v>
      </c>
      <c r="BI75" s="1">
        <v>107228.693</v>
      </c>
      <c r="BJ75" s="1">
        <f t="shared" si="149"/>
        <v>0.57166074722509519</v>
      </c>
      <c r="BK75" s="1">
        <v>101.2013381</v>
      </c>
      <c r="BL75" s="1">
        <v>5259.5029999999997</v>
      </c>
      <c r="BM75">
        <f t="shared" si="150"/>
        <v>1.9728068267066765</v>
      </c>
      <c r="BN75">
        <f t="shared" si="151"/>
        <v>4.9049399492354158E-2</v>
      </c>
      <c r="BO75">
        <f t="shared" si="180"/>
        <v>5.6487469232889042E-3</v>
      </c>
      <c r="BP75">
        <v>57386</v>
      </c>
      <c r="BQ75">
        <f t="shared" si="181"/>
        <v>75175.66</v>
      </c>
      <c r="BR75">
        <f t="shared" si="152"/>
        <v>0.39710201272299983</v>
      </c>
      <c r="BS75">
        <f t="shared" si="182"/>
        <v>59.525235619600004</v>
      </c>
      <c r="BT75">
        <f t="shared" si="183"/>
        <v>6.6711539835088898E-3</v>
      </c>
      <c r="BU75">
        <v>71.599999999999994</v>
      </c>
      <c r="BV75">
        <f t="shared" si="184"/>
        <v>71600</v>
      </c>
      <c r="BW75">
        <f t="shared" si="185"/>
        <v>91648</v>
      </c>
      <c r="BX75">
        <f t="shared" si="154"/>
        <v>0.48117142729637707</v>
      </c>
      <c r="BY75">
        <f t="shared" si="186"/>
        <v>76.247206297600002</v>
      </c>
      <c r="BZ75">
        <f t="shared" si="187"/>
        <v>6.3106761632461634E-3</v>
      </c>
      <c r="CA75" s="1">
        <v>3116</v>
      </c>
      <c r="CB75" s="1">
        <f t="shared" si="241"/>
        <v>1.6114768595853396E-2</v>
      </c>
      <c r="CC75" s="1">
        <f t="shared" si="242"/>
        <v>0.13380030179992689</v>
      </c>
      <c r="CD75" s="1">
        <v>85455</v>
      </c>
      <c r="CE75" s="1">
        <f t="shared" si="188"/>
        <v>104255.09999999999</v>
      </c>
      <c r="CF75">
        <f t="shared" si="155"/>
        <v>0.5391677828746968</v>
      </c>
      <c r="CG75">
        <f t="shared" si="243"/>
        <v>-5.683959325198179E-2</v>
      </c>
      <c r="CH75">
        <f t="shared" si="189"/>
        <v>90.917938902799989</v>
      </c>
      <c r="CI75" s="1">
        <v>5208</v>
      </c>
      <c r="CJ75" s="1">
        <f t="shared" si="190"/>
        <v>6353.76</v>
      </c>
      <c r="CK75">
        <f t="shared" si="191"/>
        <v>2.0390757381258022</v>
      </c>
      <c r="CL75">
        <f t="shared" si="192"/>
        <v>6.0944356678953843E-2</v>
      </c>
      <c r="CM75">
        <f t="shared" si="193"/>
        <v>5.930268430866201E-3</v>
      </c>
      <c r="CN75" s="1">
        <v>6137</v>
      </c>
      <c r="CO75" s="1">
        <f t="shared" si="244"/>
        <v>3.271775405973109E-2</v>
      </c>
      <c r="CP75" s="1">
        <v>86655480</v>
      </c>
      <c r="CQ75" s="1">
        <f t="shared" si="156"/>
        <v>461.98023180184884</v>
      </c>
      <c r="CR75" s="1">
        <v>108123.0123</v>
      </c>
      <c r="CS75" s="1">
        <v>9137383</v>
      </c>
      <c r="CT75">
        <f t="shared" si="194"/>
        <v>1488.9006029004399</v>
      </c>
      <c r="CU75">
        <f t="shared" si="195"/>
        <v>0.10544495281775601</v>
      </c>
      <c r="CV75">
        <f t="shared" si="196"/>
        <v>4.2727280897431009E-3</v>
      </c>
      <c r="CW75" s="1">
        <v>6387</v>
      </c>
      <c r="CX75" s="1">
        <f t="shared" si="245"/>
        <v>3.3031138325325941E-2</v>
      </c>
      <c r="CY75" s="1">
        <f t="shared" si="246"/>
        <v>9.5784162024912314E-3</v>
      </c>
      <c r="CZ75" s="1">
        <v>70485626</v>
      </c>
      <c r="DA75" s="1">
        <f t="shared" si="143"/>
        <v>85992463.719999999</v>
      </c>
      <c r="DB75" s="1">
        <f t="shared" si="157"/>
        <v>444.72036387519847</v>
      </c>
      <c r="DC75" s="1">
        <f t="shared" si="247"/>
        <v>-3.7360620083963729E-2</v>
      </c>
      <c r="DD75" s="1">
        <f t="shared" si="197"/>
        <v>93954.54819500001</v>
      </c>
      <c r="DE75" s="1">
        <v>7628238</v>
      </c>
      <c r="DF75" s="1">
        <f t="shared" si="198"/>
        <v>9306450.3599999994</v>
      </c>
      <c r="DG75">
        <f t="shared" si="199"/>
        <v>1457.0925880695161</v>
      </c>
      <c r="DH75">
        <f t="shared" si="200"/>
        <v>0.10822402286673313</v>
      </c>
      <c r="DI75">
        <f t="shared" si="201"/>
        <v>4.733356419874362E-3</v>
      </c>
      <c r="DJ75" s="1">
        <v>2027860</v>
      </c>
      <c r="DK75">
        <f t="shared" si="158"/>
        <v>10.810986597289602</v>
      </c>
      <c r="DL75">
        <v>1889.3069949999999</v>
      </c>
      <c r="DM75" s="1">
        <v>418361</v>
      </c>
      <c r="DN75" s="3">
        <f t="shared" si="202"/>
        <v>5.7221968827197416E-3</v>
      </c>
      <c r="DO75" s="1">
        <v>1567941</v>
      </c>
      <c r="DP75" s="1">
        <f t="shared" si="203"/>
        <v>1912888.02</v>
      </c>
      <c r="DQ75" s="3">
        <f t="shared" si="159"/>
        <v>9.8927303568935105</v>
      </c>
      <c r="DR75" s="3">
        <f t="shared" si="204"/>
        <v>1905.8896083399998</v>
      </c>
      <c r="DS75" s="3">
        <f t="shared" si="205"/>
        <v>426034.5222573473</v>
      </c>
      <c r="DT75" s="3">
        <f t="shared" si="206"/>
        <v>5.1906103656811087E-3</v>
      </c>
      <c r="DU75" s="3">
        <f t="shared" si="207"/>
        <v>1.0183418680454137</v>
      </c>
      <c r="DV75" s="3">
        <f t="shared" si="208"/>
        <v>492.09024405100104</v>
      </c>
      <c r="DW75" s="3">
        <f t="shared" si="209"/>
        <v>9.5927625095713731E-2</v>
      </c>
      <c r="DX75" s="3">
        <f t="shared" si="210"/>
        <v>88892058.693000004</v>
      </c>
      <c r="DY75" s="3">
        <f t="shared" si="248"/>
        <v>473.90394560546775</v>
      </c>
      <c r="DZ75" s="3">
        <f t="shared" si="211"/>
        <v>88683340</v>
      </c>
      <c r="EA75" s="3">
        <f t="shared" si="212"/>
        <v>139322.43</v>
      </c>
      <c r="EB75" s="3">
        <f t="shared" si="249"/>
        <v>0.73594588155872853</v>
      </c>
      <c r="EC75" s="3">
        <f t="shared" si="213"/>
        <v>169779.20000000001</v>
      </c>
      <c r="ED75" s="3">
        <f t="shared" si="250"/>
        <v>0.89137678933786957</v>
      </c>
      <c r="EE75" s="9">
        <f t="shared" si="214"/>
        <v>88100221.11999999</v>
      </c>
      <c r="EF75" s="13">
        <f t="shared" si="251"/>
        <v>455.62088465735422</v>
      </c>
      <c r="EG75" s="14">
        <f t="shared" si="252"/>
        <v>-3.8579676572970456E-2</v>
      </c>
      <c r="EH75" s="9">
        <f t="shared" si="215"/>
        <v>87905351.739999995</v>
      </c>
      <c r="EI75" s="10">
        <v>393404</v>
      </c>
      <c r="EJ75" s="10">
        <f t="shared" si="160"/>
        <v>515359.24000000005</v>
      </c>
      <c r="EK75" s="10">
        <f t="shared" si="253"/>
        <v>2.7222932459707772</v>
      </c>
      <c r="EL75" s="10">
        <v>315000</v>
      </c>
      <c r="EM75" s="10">
        <f t="shared" si="161"/>
        <v>403200</v>
      </c>
      <c r="EN75" s="10">
        <f t="shared" si="254"/>
        <v>2.1168854692508212</v>
      </c>
      <c r="EO75" s="11">
        <v>1019468</v>
      </c>
      <c r="EP75" s="11">
        <f t="shared" si="162"/>
        <v>1243750.96</v>
      </c>
      <c r="EQ75" s="11">
        <f t="shared" si="255"/>
        <v>6.4322076095219867</v>
      </c>
      <c r="ER75" s="10">
        <f t="shared" si="256"/>
        <v>11.271386324743585</v>
      </c>
      <c r="ES75" s="10">
        <f t="shared" si="216"/>
        <v>3.0846998015873015</v>
      </c>
      <c r="ET75" s="12">
        <v>319291</v>
      </c>
      <c r="EU75" s="12">
        <f t="shared" si="163"/>
        <v>418271.21</v>
      </c>
      <c r="EV75" s="12">
        <f t="shared" si="257"/>
        <v>2.2094430478573055</v>
      </c>
      <c r="EW75" s="10">
        <v>95000</v>
      </c>
      <c r="EX75" s="10">
        <f t="shared" si="164"/>
        <v>121600</v>
      </c>
      <c r="EY75" s="10">
        <f t="shared" si="258"/>
        <v>0.63842577644072385</v>
      </c>
      <c r="EZ75" s="3">
        <f t="shared" si="217"/>
        <v>293046.48115079367</v>
      </c>
      <c r="FA75" s="3">
        <f t="shared" si="259"/>
        <v>1.5155251064101904</v>
      </c>
      <c r="FB75" s="3">
        <f t="shared" si="260"/>
        <v>4.3633939307082201</v>
      </c>
      <c r="FC75" s="1">
        <f t="shared" si="218"/>
        <v>0.44930000000000003</v>
      </c>
      <c r="FD75">
        <f>4.57/10</f>
        <v>0.45700000000000002</v>
      </c>
      <c r="FE75">
        <f>5.8</f>
        <v>5.8</v>
      </c>
      <c r="FF75" s="7">
        <f t="shared" si="219"/>
        <v>19.157499999999999</v>
      </c>
      <c r="FG75" s="1">
        <f t="shared" si="220"/>
        <v>2.6715</v>
      </c>
      <c r="FH75">
        <v>2.63E-2</v>
      </c>
      <c r="FI75">
        <v>3.4000000000000002E-2</v>
      </c>
      <c r="FJ75">
        <v>4.41E-2</v>
      </c>
      <c r="FK75">
        <v>4.0899999999999999E-2</v>
      </c>
      <c r="FL75" s="1">
        <f t="shared" si="221"/>
        <v>2.5666666666666672E-3</v>
      </c>
    </row>
    <row r="76" spans="1:168">
      <c r="A76" t="s">
        <v>140</v>
      </c>
      <c r="B76" s="1" t="s">
        <v>103</v>
      </c>
      <c r="C76" s="1">
        <v>338241</v>
      </c>
      <c r="D76" s="6">
        <f t="shared" si="223"/>
        <v>343298.4</v>
      </c>
      <c r="E76" s="6">
        <f t="shared" si="224"/>
        <v>346670</v>
      </c>
      <c r="F76" s="1">
        <v>355099</v>
      </c>
      <c r="G76" s="1">
        <f t="shared" si="144"/>
        <v>1685.8</v>
      </c>
      <c r="H76" s="1">
        <v>1.31</v>
      </c>
      <c r="I76" s="1">
        <v>1.28</v>
      </c>
      <c r="J76" s="1">
        <v>1.22</v>
      </c>
      <c r="K76">
        <v>159979</v>
      </c>
      <c r="L76">
        <f t="shared" si="225"/>
        <v>0.47297341244852042</v>
      </c>
      <c r="M76" s="1">
        <v>136950</v>
      </c>
      <c r="N76">
        <f t="shared" si="226"/>
        <v>0.3856670956550145</v>
      </c>
      <c r="O76">
        <f t="shared" si="227"/>
        <v>-0.18459032684635007</v>
      </c>
      <c r="P76">
        <f t="shared" si="228"/>
        <v>0.16857067239306353</v>
      </c>
      <c r="Q76">
        <f t="shared" si="229"/>
        <v>0.16155433174187536</v>
      </c>
      <c r="R76">
        <f t="shared" si="230"/>
        <v>582.39726808199896</v>
      </c>
      <c r="S76">
        <f t="shared" si="231"/>
        <v>567.56121378641558</v>
      </c>
      <c r="T76">
        <f t="shared" si="232"/>
        <v>583.34690195747999</v>
      </c>
      <c r="U76">
        <v>92297.113769999996</v>
      </c>
      <c r="V76">
        <f t="shared" si="233"/>
        <v>6.3203157512720567E-3</v>
      </c>
      <c r="W76">
        <f t="shared" si="234"/>
        <v>482.04666152256135</v>
      </c>
      <c r="X76">
        <v>79429.064259999999</v>
      </c>
      <c r="Y76">
        <f t="shared" si="235"/>
        <v>6.0688951332052536E-3</v>
      </c>
      <c r="Z76" s="1">
        <v>20098</v>
      </c>
      <c r="AA76" s="1">
        <f t="shared" si="236"/>
        <v>5.9419171537454067E-2</v>
      </c>
      <c r="AB76" s="1">
        <v>214167</v>
      </c>
      <c r="AC76" s="1">
        <f t="shared" si="145"/>
        <v>0.63317870985480762</v>
      </c>
      <c r="AD76" s="1">
        <v>61.278341249999997</v>
      </c>
      <c r="AE76" s="1">
        <v>26924</v>
      </c>
      <c r="AF76">
        <f t="shared" si="165"/>
        <v>1.3396357846551896</v>
      </c>
      <c r="AG76">
        <f t="shared" si="166"/>
        <v>0.12571497943193863</v>
      </c>
      <c r="AH76">
        <f t="shared" si="222"/>
        <v>1.0332830441209237E-2</v>
      </c>
      <c r="AI76">
        <v>109371</v>
      </c>
      <c r="AJ76">
        <f t="shared" si="167"/>
        <v>143276.01</v>
      </c>
      <c r="AK76">
        <f t="shared" si="146"/>
        <v>0.41735123146510439</v>
      </c>
      <c r="AL76">
        <f t="shared" si="168"/>
        <v>40.567501634999999</v>
      </c>
      <c r="AM76">
        <f t="shared" si="169"/>
        <v>1.028782189300587E-2</v>
      </c>
      <c r="AN76">
        <v>151.99</v>
      </c>
      <c r="AO76">
        <f t="shared" si="170"/>
        <v>151990</v>
      </c>
      <c r="AP76">
        <f t="shared" si="171"/>
        <v>194547.20000000001</v>
      </c>
      <c r="AQ76">
        <f t="shared" si="147"/>
        <v>0.56118845011105667</v>
      </c>
      <c r="AR76">
        <f t="shared" si="172"/>
        <v>51.759606732800002</v>
      </c>
      <c r="AS76">
        <f t="shared" si="173"/>
        <v>1.0842208539336375E-2</v>
      </c>
      <c r="AT76" s="1">
        <v>20366</v>
      </c>
      <c r="AU76" s="1">
        <f t="shared" si="237"/>
        <v>5.7353019862066631E-2</v>
      </c>
      <c r="AV76" s="1">
        <f t="shared" si="238"/>
        <v>-3.4772475312703832E-2</v>
      </c>
      <c r="AW76" s="1">
        <v>190744</v>
      </c>
      <c r="AX76" s="1">
        <f t="shared" si="174"/>
        <v>232707.68</v>
      </c>
      <c r="AY76" s="1">
        <f t="shared" si="148"/>
        <v>0.65533183703699527</v>
      </c>
      <c r="AZ76" s="1">
        <f t="shared" si="239"/>
        <v>3.4987163714439357E-2</v>
      </c>
      <c r="BA76" s="1">
        <f t="shared" si="175"/>
        <v>60.4858519474</v>
      </c>
      <c r="BB76" s="1">
        <v>22788</v>
      </c>
      <c r="BC76" s="1">
        <f t="shared" si="176"/>
        <v>27801.360000000001</v>
      </c>
      <c r="BD76" s="1">
        <f t="shared" si="177"/>
        <v>1.365086909555141</v>
      </c>
      <c r="BE76" s="1">
        <f t="shared" si="178"/>
        <v>0.11946902654867257</v>
      </c>
      <c r="BF76" s="1">
        <f t="shared" si="179"/>
        <v>1.0834464853150916E-2</v>
      </c>
      <c r="BG76" s="1">
        <v>11622</v>
      </c>
      <c r="BH76" s="1">
        <f t="shared" si="240"/>
        <v>3.4360116011955974E-2</v>
      </c>
      <c r="BI76" s="1">
        <v>389959.46500000003</v>
      </c>
      <c r="BJ76" s="1">
        <f t="shared" si="149"/>
        <v>1.1529041866598078</v>
      </c>
      <c r="BK76" s="1">
        <v>101.2013381</v>
      </c>
      <c r="BL76" s="1">
        <v>20125.411</v>
      </c>
      <c r="BM76">
        <f t="shared" si="150"/>
        <v>1.7316650318361728</v>
      </c>
      <c r="BN76">
        <f t="shared" si="151"/>
        <v>5.1608981974575224E-2</v>
      </c>
      <c r="BO76">
        <f t="shared" si="180"/>
        <v>1.1392183229045741E-2</v>
      </c>
      <c r="BP76">
        <v>155853</v>
      </c>
      <c r="BQ76">
        <f t="shared" si="181"/>
        <v>204167.43000000002</v>
      </c>
      <c r="BR76">
        <f t="shared" si="152"/>
        <v>0.59472292909026081</v>
      </c>
      <c r="BS76">
        <f t="shared" si="182"/>
        <v>59.525235619600004</v>
      </c>
      <c r="BT76">
        <f t="shared" si="183"/>
        <v>9.9911058377135618E-3</v>
      </c>
      <c r="BU76">
        <v>278.10000000000002</v>
      </c>
      <c r="BV76">
        <f t="shared" si="184"/>
        <v>278100</v>
      </c>
      <c r="BW76">
        <f t="shared" si="185"/>
        <v>355968</v>
      </c>
      <c r="BX76">
        <f t="shared" si="154"/>
        <v>1.0268208959529235</v>
      </c>
      <c r="BY76">
        <f t="shared" si="186"/>
        <v>76.247206297600002</v>
      </c>
      <c r="BZ76">
        <f t="shared" si="187"/>
        <v>1.3466996967012078E-2</v>
      </c>
      <c r="CA76" s="1">
        <v>10538</v>
      </c>
      <c r="CB76" s="1">
        <f t="shared" si="241"/>
        <v>2.9676231135542481E-2</v>
      </c>
      <c r="CC76" s="1">
        <f t="shared" si="242"/>
        <v>-0.13631749307201654</v>
      </c>
      <c r="CD76" s="1">
        <v>336183</v>
      </c>
      <c r="CE76" s="1">
        <f t="shared" si="188"/>
        <v>410143.26</v>
      </c>
      <c r="CF76">
        <f t="shared" si="155"/>
        <v>1.1550110250944103</v>
      </c>
      <c r="CG76">
        <f t="shared" si="243"/>
        <v>1.8274184958131734E-3</v>
      </c>
      <c r="CH76">
        <f t="shared" si="189"/>
        <v>90.917938902799989</v>
      </c>
      <c r="CI76" s="1">
        <v>18550</v>
      </c>
      <c r="CJ76" s="1">
        <f t="shared" si="190"/>
        <v>22631</v>
      </c>
      <c r="CK76">
        <f t="shared" si="191"/>
        <v>2.1475612070601633</v>
      </c>
      <c r="CL76">
        <f t="shared" si="192"/>
        <v>5.517828087678437E-2</v>
      </c>
      <c r="CM76">
        <f t="shared" si="193"/>
        <v>1.2703884833214578E-2</v>
      </c>
      <c r="CN76" s="1">
        <v>24427</v>
      </c>
      <c r="CO76" s="1">
        <f t="shared" si="244"/>
        <v>7.2217738239894039E-2</v>
      </c>
      <c r="CP76" s="1">
        <v>196707713</v>
      </c>
      <c r="CQ76" s="1">
        <f t="shared" si="156"/>
        <v>581.5608190609654</v>
      </c>
      <c r="CR76" s="1">
        <v>108123.0123</v>
      </c>
      <c r="CS76" s="1">
        <v>32652810</v>
      </c>
      <c r="CT76">
        <f t="shared" si="194"/>
        <v>1336.750726654931</v>
      </c>
      <c r="CU76">
        <f t="shared" si="195"/>
        <v>0.16599659211126103</v>
      </c>
      <c r="CV76">
        <f t="shared" si="196"/>
        <v>5.3786960489720414E-3</v>
      </c>
      <c r="CW76" s="1">
        <v>18594</v>
      </c>
      <c r="CX76" s="1">
        <f t="shared" si="245"/>
        <v>5.2362862187727927E-2</v>
      </c>
      <c r="CY76" s="1">
        <f t="shared" si="246"/>
        <v>-0.27493073773941612</v>
      </c>
      <c r="CZ76" s="1">
        <v>139779866</v>
      </c>
      <c r="DA76" s="1">
        <f t="shared" si="143"/>
        <v>170531436.52000001</v>
      </c>
      <c r="DB76" s="1">
        <f t="shared" si="157"/>
        <v>480.23631866042996</v>
      </c>
      <c r="DC76" s="1">
        <f t="shared" si="247"/>
        <v>-0.174228553711961</v>
      </c>
      <c r="DD76" s="1">
        <f t="shared" si="197"/>
        <v>93954.54819500001</v>
      </c>
      <c r="DE76" s="1">
        <v>22985830</v>
      </c>
      <c r="DF76" s="1">
        <f t="shared" si="198"/>
        <v>28042712.599999998</v>
      </c>
      <c r="DG76">
        <f t="shared" si="199"/>
        <v>1508.1592234053994</v>
      </c>
      <c r="DH76">
        <f t="shared" si="200"/>
        <v>0.16444306793082772</v>
      </c>
      <c r="DI76">
        <f t="shared" si="201"/>
        <v>5.1113685062240208E-3</v>
      </c>
      <c r="DJ76" s="1">
        <v>2087771</v>
      </c>
      <c r="DK76">
        <f t="shared" si="158"/>
        <v>6.172436221510698</v>
      </c>
      <c r="DL76">
        <v>1889.3069949999999</v>
      </c>
      <c r="DM76" s="1">
        <v>913067</v>
      </c>
      <c r="DN76" s="3">
        <f t="shared" si="202"/>
        <v>3.2670371929209409E-3</v>
      </c>
      <c r="DO76" s="1">
        <v>2228339</v>
      </c>
      <c r="DP76" s="1">
        <f t="shared" si="203"/>
        <v>2718573.58</v>
      </c>
      <c r="DQ76" s="3">
        <f t="shared" si="159"/>
        <v>7.6558187435053329</v>
      </c>
      <c r="DR76" s="3">
        <f t="shared" si="204"/>
        <v>1905.8896083399998</v>
      </c>
      <c r="DS76" s="3">
        <f t="shared" si="205"/>
        <v>784435.28661054512</v>
      </c>
      <c r="DT76" s="3">
        <f t="shared" si="206"/>
        <v>4.016926641503351E-3</v>
      </c>
      <c r="DU76" s="3">
        <f t="shared" si="207"/>
        <v>0.85912127654437753</v>
      </c>
      <c r="DV76" s="3">
        <f t="shared" si="208"/>
        <v>475.24898316557284</v>
      </c>
      <c r="DW76" s="3">
        <f t="shared" si="209"/>
        <v>0.11373515481234325</v>
      </c>
      <c r="DX76" s="3">
        <f t="shared" si="210"/>
        <v>199399610.465</v>
      </c>
      <c r="DY76" s="3">
        <f t="shared" si="248"/>
        <v>589.51933817899078</v>
      </c>
      <c r="DZ76" s="3">
        <f t="shared" si="211"/>
        <v>198795484</v>
      </c>
      <c r="EA76" s="3">
        <f t="shared" si="212"/>
        <v>347443.44000000006</v>
      </c>
      <c r="EB76" s="3">
        <f t="shared" si="249"/>
        <v>1.0120741605553654</v>
      </c>
      <c r="EC76" s="3">
        <f t="shared" si="213"/>
        <v>550515.19999999995</v>
      </c>
      <c r="ED76" s="3">
        <f t="shared" si="250"/>
        <v>1.5880093460639799</v>
      </c>
      <c r="EE76" s="9">
        <f t="shared" si="214"/>
        <v>173892861.04000002</v>
      </c>
      <c r="EF76" s="13">
        <f t="shared" si="251"/>
        <v>489.70248026606669</v>
      </c>
      <c r="EG76" s="14">
        <f t="shared" si="252"/>
        <v>-0.16931905613352</v>
      </c>
      <c r="EH76" s="9">
        <f t="shared" si="215"/>
        <v>173250010.10000002</v>
      </c>
      <c r="EI76" s="10">
        <v>415229</v>
      </c>
      <c r="EJ76" s="10">
        <f t="shared" si="160"/>
        <v>543949.99</v>
      </c>
      <c r="EK76" s="10">
        <f t="shared" si="253"/>
        <v>1.5844815763778681</v>
      </c>
      <c r="EL76" s="10">
        <v>762000</v>
      </c>
      <c r="EM76" s="10">
        <f t="shared" si="161"/>
        <v>975360</v>
      </c>
      <c r="EN76" s="10">
        <f t="shared" si="254"/>
        <v>2.8135114085441488</v>
      </c>
      <c r="EO76" s="11">
        <v>3669934</v>
      </c>
      <c r="EP76" s="11">
        <f t="shared" si="162"/>
        <v>4477319.4799999995</v>
      </c>
      <c r="EQ76" s="11">
        <f t="shared" si="255"/>
        <v>12.608651333853375</v>
      </c>
      <c r="ER76" s="10">
        <f t="shared" si="256"/>
        <v>17.006644318775393</v>
      </c>
      <c r="ES76" s="10">
        <f t="shared" si="216"/>
        <v>4.5904276164698157</v>
      </c>
      <c r="ET76" s="12">
        <v>38781</v>
      </c>
      <c r="EU76" s="12">
        <f t="shared" si="163"/>
        <v>50803.11</v>
      </c>
      <c r="EV76" s="12">
        <f t="shared" si="257"/>
        <v>0.14798528044406847</v>
      </c>
      <c r="EW76" s="10">
        <v>7000</v>
      </c>
      <c r="EX76" s="10">
        <f t="shared" si="164"/>
        <v>8960</v>
      </c>
      <c r="EY76" s="10">
        <f t="shared" si="258"/>
        <v>2.5845905327833388E-2</v>
      </c>
      <c r="EZ76" s="3">
        <f t="shared" si="217"/>
        <v>32132.99331528871</v>
      </c>
      <c r="FA76" s="3">
        <f t="shared" si="259"/>
        <v>9.049023882153627E-2</v>
      </c>
      <c r="FB76" s="3">
        <f t="shared" si="260"/>
        <v>0.26432142459343816</v>
      </c>
      <c r="FC76" s="1">
        <f t="shared" si="218"/>
        <v>0.48830000000000001</v>
      </c>
      <c r="FD76">
        <f>4.96/10</f>
        <v>0.496</v>
      </c>
      <c r="FE76">
        <f>5.8</f>
        <v>5.8</v>
      </c>
      <c r="FF76" s="7">
        <f t="shared" si="219"/>
        <v>19.060000000000002</v>
      </c>
      <c r="FG76" s="1">
        <f t="shared" si="220"/>
        <v>2.6520000000000001</v>
      </c>
      <c r="FH76">
        <v>2.63E-2</v>
      </c>
      <c r="FI76">
        <v>3.4000000000000002E-2</v>
      </c>
      <c r="FJ76">
        <v>4.41E-2</v>
      </c>
      <c r="FK76">
        <v>4.0899999999999999E-2</v>
      </c>
      <c r="FL76" s="1">
        <f t="shared" si="221"/>
        <v>2.5666666666666672E-3</v>
      </c>
    </row>
    <row r="77" spans="1:168">
      <c r="A77" t="s">
        <v>113</v>
      </c>
      <c r="B77" s="1" t="s">
        <v>24</v>
      </c>
      <c r="C77" s="1">
        <v>1374410</v>
      </c>
      <c r="D77" s="6">
        <f t="shared" si="223"/>
        <v>1385548.7</v>
      </c>
      <c r="E77" s="6">
        <f t="shared" si="224"/>
        <v>1392974.5</v>
      </c>
      <c r="F77" s="1">
        <v>1411539</v>
      </c>
      <c r="G77" s="1">
        <f t="shared" si="144"/>
        <v>3712.9</v>
      </c>
      <c r="H77" s="1">
        <v>1.31</v>
      </c>
      <c r="I77" s="1">
        <v>1.28</v>
      </c>
      <c r="J77" s="1">
        <v>1.22</v>
      </c>
      <c r="K77">
        <v>537097</v>
      </c>
      <c r="L77">
        <f t="shared" si="225"/>
        <v>0.39078368172524935</v>
      </c>
      <c r="M77" s="1">
        <v>463073</v>
      </c>
      <c r="N77">
        <f t="shared" si="226"/>
        <v>0.32806249065736054</v>
      </c>
      <c r="O77">
        <f t="shared" si="227"/>
        <v>-0.16050104956016711</v>
      </c>
      <c r="P77">
        <f t="shared" si="228"/>
        <v>0.17414601815048036</v>
      </c>
      <c r="Q77">
        <f t="shared" si="229"/>
        <v>0.17260082281655934</v>
      </c>
      <c r="R77">
        <f t="shared" si="230"/>
        <v>1016.9912809383551</v>
      </c>
      <c r="S77">
        <f t="shared" si="231"/>
        <v>1019.9815076011695</v>
      </c>
      <c r="T77">
        <f t="shared" si="232"/>
        <v>1020.7657578575535</v>
      </c>
      <c r="U77">
        <v>92297.113769999996</v>
      </c>
      <c r="V77">
        <f t="shared" si="233"/>
        <v>1.1059563145184075E-2</v>
      </c>
      <c r="W77">
        <f t="shared" si="234"/>
        <v>872.41858435367362</v>
      </c>
      <c r="X77">
        <v>79429.064259999999</v>
      </c>
      <c r="Y77">
        <f t="shared" si="235"/>
        <v>1.0983619062890287E-2</v>
      </c>
      <c r="Z77" s="1">
        <v>54640</v>
      </c>
      <c r="AA77" s="1">
        <f t="shared" si="236"/>
        <v>3.9755240430439244E-2</v>
      </c>
      <c r="AB77" s="1">
        <v>625837</v>
      </c>
      <c r="AC77" s="1">
        <f t="shared" si="145"/>
        <v>0.4553495681783456</v>
      </c>
      <c r="AD77" s="1">
        <v>61.278341249999997</v>
      </c>
      <c r="AE77" s="1">
        <v>79000</v>
      </c>
      <c r="AF77">
        <f t="shared" si="165"/>
        <v>1.4458272327964861</v>
      </c>
      <c r="AG77">
        <f t="shared" si="166"/>
        <v>0.12623095150973815</v>
      </c>
      <c r="AH77">
        <f t="shared" si="222"/>
        <v>7.4308403081708033E-3</v>
      </c>
      <c r="AI77">
        <v>286279</v>
      </c>
      <c r="AJ77">
        <f t="shared" si="167"/>
        <v>375025.49</v>
      </c>
      <c r="AK77">
        <f t="shared" si="146"/>
        <v>0.27066929513195748</v>
      </c>
      <c r="AL77">
        <f t="shared" si="168"/>
        <v>40.567501634999999</v>
      </c>
      <c r="AM77">
        <f t="shared" si="169"/>
        <v>6.6720720829018211E-3</v>
      </c>
      <c r="AN77">
        <v>393.17</v>
      </c>
      <c r="AO77">
        <f t="shared" si="170"/>
        <v>393170</v>
      </c>
      <c r="AP77">
        <f t="shared" si="171"/>
        <v>503257.60000000003</v>
      </c>
      <c r="AQ77">
        <f t="shared" si="147"/>
        <v>0.36128270833385684</v>
      </c>
      <c r="AR77">
        <f t="shared" si="172"/>
        <v>51.759606732800002</v>
      </c>
      <c r="AS77">
        <f t="shared" si="173"/>
        <v>6.9800126225633089E-3</v>
      </c>
      <c r="AT77" s="1">
        <v>61730</v>
      </c>
      <c r="AU77" s="1">
        <f t="shared" si="237"/>
        <v>4.3732408385457291E-2</v>
      </c>
      <c r="AV77" s="1">
        <f t="shared" si="238"/>
        <v>0.10004135082460386</v>
      </c>
      <c r="AW77" s="1">
        <v>523420</v>
      </c>
      <c r="AX77" s="1">
        <f t="shared" si="174"/>
        <v>638572.4</v>
      </c>
      <c r="AY77" s="1">
        <f t="shared" si="148"/>
        <v>0.45239444322827782</v>
      </c>
      <c r="AZ77" s="1">
        <f t="shared" si="239"/>
        <v>-6.4897941199108626E-3</v>
      </c>
      <c r="BA77" s="1">
        <f t="shared" si="175"/>
        <v>60.4858519474</v>
      </c>
      <c r="BB77" s="1">
        <v>66872</v>
      </c>
      <c r="BC77" s="1">
        <f t="shared" si="176"/>
        <v>81583.839999999997</v>
      </c>
      <c r="BD77" s="1">
        <f t="shared" si="177"/>
        <v>1.3216238457800096</v>
      </c>
      <c r="BE77" s="1">
        <f t="shared" si="178"/>
        <v>0.1277597340567804</v>
      </c>
      <c r="BF77" s="1">
        <f t="shared" si="179"/>
        <v>7.4793431631200507E-3</v>
      </c>
      <c r="BG77" s="1">
        <v>29341</v>
      </c>
      <c r="BH77" s="1">
        <f t="shared" si="240"/>
        <v>2.1348069353395276E-2</v>
      </c>
      <c r="BI77" s="1">
        <v>1562580.257</v>
      </c>
      <c r="BJ77" s="1">
        <f t="shared" si="149"/>
        <v>1.1369098427688973</v>
      </c>
      <c r="BK77" s="1">
        <v>101.2013381</v>
      </c>
      <c r="BL77" s="1">
        <v>61781.048999999999</v>
      </c>
      <c r="BM77">
        <f t="shared" si="150"/>
        <v>2.105621792031628</v>
      </c>
      <c r="BN77">
        <f t="shared" si="151"/>
        <v>3.9537840519381397E-2</v>
      </c>
      <c r="BO77">
        <f t="shared" si="180"/>
        <v>1.1234138442373988E-2</v>
      </c>
      <c r="BP77">
        <v>603794</v>
      </c>
      <c r="BQ77">
        <f t="shared" si="181"/>
        <v>790970.14</v>
      </c>
      <c r="BR77">
        <f t="shared" si="152"/>
        <v>0.57087141000529251</v>
      </c>
      <c r="BS77">
        <f t="shared" si="182"/>
        <v>59.525235619600004</v>
      </c>
      <c r="BT77">
        <f t="shared" si="183"/>
        <v>9.5904099171229568E-3</v>
      </c>
      <c r="BU77">
        <v>729.76</v>
      </c>
      <c r="BV77">
        <f t="shared" si="184"/>
        <v>729760</v>
      </c>
      <c r="BW77">
        <f t="shared" si="185"/>
        <v>934092.80000000005</v>
      </c>
      <c r="BX77">
        <f t="shared" si="154"/>
        <v>0.67057422802786415</v>
      </c>
      <c r="BY77">
        <f t="shared" si="186"/>
        <v>76.247206297600002</v>
      </c>
      <c r="BZ77">
        <f t="shared" si="187"/>
        <v>8.7947383332387281E-3</v>
      </c>
      <c r="CA77" s="1">
        <v>23035</v>
      </c>
      <c r="CB77" s="1">
        <f t="shared" si="241"/>
        <v>1.6319067344224992E-2</v>
      </c>
      <c r="CC77" s="1">
        <f t="shared" si="242"/>
        <v>-0.23557174777354997</v>
      </c>
      <c r="CD77" s="1">
        <v>888574</v>
      </c>
      <c r="CE77" s="1">
        <f t="shared" si="188"/>
        <v>1084060.28</v>
      </c>
      <c r="CF77">
        <f t="shared" si="155"/>
        <v>0.7679988154772911</v>
      </c>
      <c r="CG77">
        <f t="shared" si="243"/>
        <v>-0.32448573617160226</v>
      </c>
      <c r="CH77">
        <f t="shared" si="189"/>
        <v>90.917938902799989</v>
      </c>
      <c r="CI77" s="1">
        <v>43213</v>
      </c>
      <c r="CJ77" s="1">
        <f t="shared" si="190"/>
        <v>52719.86</v>
      </c>
      <c r="CK77">
        <f t="shared" si="191"/>
        <v>2.288685044497504</v>
      </c>
      <c r="CL77">
        <f t="shared" si="192"/>
        <v>4.8631852833866396E-2</v>
      </c>
      <c r="CM77">
        <f t="shared" si="193"/>
        <v>8.4471648251766424E-3</v>
      </c>
      <c r="CN77" s="1">
        <v>155374</v>
      </c>
      <c r="CO77" s="1">
        <f t="shared" si="244"/>
        <v>0.11304778050217912</v>
      </c>
      <c r="CP77" s="1">
        <v>1400762248</v>
      </c>
      <c r="CQ77" s="1">
        <f t="shared" si="156"/>
        <v>1019.1734984466062</v>
      </c>
      <c r="CR77" s="1">
        <v>108123.0123</v>
      </c>
      <c r="CS77" s="1">
        <v>243281167</v>
      </c>
      <c r="CT77">
        <f t="shared" si="194"/>
        <v>1565.7778457142122</v>
      </c>
      <c r="CU77">
        <f t="shared" si="195"/>
        <v>0.17367770108550212</v>
      </c>
      <c r="CV77">
        <f t="shared" si="196"/>
        <v>9.4260553490573273E-3</v>
      </c>
      <c r="CW77" s="1">
        <v>124216</v>
      </c>
      <c r="CX77" s="1">
        <f t="shared" si="245"/>
        <v>8.8000402397666655E-2</v>
      </c>
      <c r="CY77" s="1">
        <f t="shared" si="246"/>
        <v>-0.22156452778858093</v>
      </c>
      <c r="CZ77" s="1">
        <v>1007975593</v>
      </c>
      <c r="DA77" s="1">
        <f t="shared" si="143"/>
        <v>1229730223.46</v>
      </c>
      <c r="DB77" s="1">
        <f t="shared" si="157"/>
        <v>871.19819109496802</v>
      </c>
      <c r="DC77" s="1">
        <f t="shared" si="247"/>
        <v>-0.14519147875918845</v>
      </c>
      <c r="DD77" s="1">
        <f t="shared" si="197"/>
        <v>93954.54819500001</v>
      </c>
      <c r="DE77" s="1">
        <v>174608567</v>
      </c>
      <c r="DF77" s="1">
        <f t="shared" si="198"/>
        <v>213022451.74000001</v>
      </c>
      <c r="DG77">
        <f t="shared" si="199"/>
        <v>1714.935690571263</v>
      </c>
      <c r="DH77">
        <f t="shared" si="200"/>
        <v>0.17322697911793586</v>
      </c>
      <c r="DI77">
        <f t="shared" si="201"/>
        <v>9.2725494170523906E-3</v>
      </c>
      <c r="DJ77" s="1">
        <v>2973034</v>
      </c>
      <c r="DK77">
        <f t="shared" si="158"/>
        <v>2.1631347269009975</v>
      </c>
      <c r="DL77">
        <v>1889.3069949999999</v>
      </c>
      <c r="DM77" s="1">
        <v>1414066</v>
      </c>
      <c r="DN77" s="3">
        <f t="shared" si="202"/>
        <v>1.1449355412464334E-3</v>
      </c>
      <c r="DO77" s="1">
        <v>2882512</v>
      </c>
      <c r="DP77" s="1">
        <f t="shared" si="203"/>
        <v>3516664.64</v>
      </c>
      <c r="DQ77" s="3">
        <f t="shared" si="159"/>
        <v>2.4913690943006181</v>
      </c>
      <c r="DR77" s="3">
        <f t="shared" si="204"/>
        <v>1905.8896083399998</v>
      </c>
      <c r="DS77" s="3">
        <f t="shared" si="205"/>
        <v>1238252.0267948259</v>
      </c>
      <c r="DT77" s="3">
        <f t="shared" si="206"/>
        <v>1.3071948571410502E-3</v>
      </c>
      <c r="DU77" s="3">
        <f t="shared" si="207"/>
        <v>0.87566777420207109</v>
      </c>
      <c r="DV77" s="3">
        <f t="shared" si="208"/>
        <v>547.9792157000968</v>
      </c>
      <c r="DW77" s="3">
        <f t="shared" si="209"/>
        <v>0.11484417652053407</v>
      </c>
      <c r="DX77" s="3">
        <f t="shared" si="210"/>
        <v>1405923699.257</v>
      </c>
      <c r="DY77" s="3">
        <f t="shared" si="248"/>
        <v>1022.9288925844544</v>
      </c>
      <c r="DZ77" s="3">
        <f t="shared" si="211"/>
        <v>1403735282</v>
      </c>
      <c r="EA77" s="3">
        <f t="shared" si="212"/>
        <v>1165995.6299999999</v>
      </c>
      <c r="EB77" s="3">
        <f t="shared" si="249"/>
        <v>0.84154070513724988</v>
      </c>
      <c r="EC77" s="3">
        <f t="shared" si="213"/>
        <v>1437350.4000000001</v>
      </c>
      <c r="ED77" s="3">
        <f t="shared" si="250"/>
        <v>1.0318569363617209</v>
      </c>
      <c r="EE77" s="9">
        <f t="shared" si="214"/>
        <v>1234969520.7800002</v>
      </c>
      <c r="EF77" s="13">
        <f t="shared" si="251"/>
        <v>874.90995344797432</v>
      </c>
      <c r="EG77" s="14">
        <f t="shared" si="252"/>
        <v>-0.14470110308694739</v>
      </c>
      <c r="EH77" s="9">
        <f t="shared" si="215"/>
        <v>1233246888.1000001</v>
      </c>
      <c r="EI77" s="10">
        <v>331098</v>
      </c>
      <c r="EJ77" s="10">
        <f t="shared" si="160"/>
        <v>433738.38</v>
      </c>
      <c r="EK77" s="10">
        <f t="shared" si="253"/>
        <v>0.3130444855529077</v>
      </c>
      <c r="EL77" s="10">
        <v>2782000</v>
      </c>
      <c r="EM77" s="10">
        <f t="shared" si="161"/>
        <v>3560960</v>
      </c>
      <c r="EN77" s="10">
        <f t="shared" si="254"/>
        <v>2.5563712759996684</v>
      </c>
      <c r="EO77" s="11">
        <v>16498917</v>
      </c>
      <c r="EP77" s="11">
        <f t="shared" si="162"/>
        <v>20128678.739999998</v>
      </c>
      <c r="EQ77" s="11">
        <f t="shared" si="255"/>
        <v>14.26009394001866</v>
      </c>
      <c r="ER77" s="10">
        <f t="shared" si="256"/>
        <v>17.129509701571237</v>
      </c>
      <c r="ES77" s="10">
        <f t="shared" si="216"/>
        <v>5.6525989452282523</v>
      </c>
      <c r="ET77" s="12">
        <v>77419</v>
      </c>
      <c r="EU77" s="12">
        <f t="shared" si="163"/>
        <v>101418.89</v>
      </c>
      <c r="EV77" s="12">
        <f t="shared" si="257"/>
        <v>7.3197636430967744E-2</v>
      </c>
      <c r="EW77" s="10">
        <v>2000</v>
      </c>
      <c r="EX77" s="10">
        <f t="shared" si="164"/>
        <v>2560</v>
      </c>
      <c r="EY77" s="10">
        <f t="shared" si="258"/>
        <v>1.8377938720342691E-3</v>
      </c>
      <c r="EZ77" s="3">
        <f t="shared" si="217"/>
        <v>11305.197890456504</v>
      </c>
      <c r="FA77" s="3">
        <f t="shared" si="259"/>
        <v>8.0091289652333402E-3</v>
      </c>
      <c r="FB77" s="3">
        <f t="shared" si="260"/>
        <v>8.3044559268235354E-2</v>
      </c>
      <c r="FC77" s="1">
        <f t="shared" si="218"/>
        <v>0.4803</v>
      </c>
      <c r="FD77">
        <f>4.88/10</f>
        <v>0.48799999999999999</v>
      </c>
      <c r="FE77">
        <f>5.7</f>
        <v>5.7</v>
      </c>
      <c r="FF77" s="7">
        <f t="shared" si="219"/>
        <v>18.73</v>
      </c>
      <c r="FG77" s="1">
        <f t="shared" si="220"/>
        <v>2.6059999999999999</v>
      </c>
      <c r="FH77">
        <v>2.63E-2</v>
      </c>
      <c r="FI77">
        <v>3.4000000000000002E-2</v>
      </c>
      <c r="FJ77">
        <v>4.41E-2</v>
      </c>
      <c r="FK77">
        <v>4.0899999999999999E-2</v>
      </c>
      <c r="FL77" s="1">
        <f t="shared" si="221"/>
        <v>2.5666666666666672E-3</v>
      </c>
    </row>
    <row r="78" spans="1:168">
      <c r="A78" t="s">
        <v>113</v>
      </c>
      <c r="B78" s="1" t="s">
        <v>25</v>
      </c>
      <c r="C78" s="1">
        <v>231717</v>
      </c>
      <c r="D78" s="6">
        <f t="shared" si="223"/>
        <v>234767.1</v>
      </c>
      <c r="E78" s="6">
        <f t="shared" si="224"/>
        <v>236800.5</v>
      </c>
      <c r="F78" s="1">
        <v>241884</v>
      </c>
      <c r="G78" s="1">
        <f t="shared" si="144"/>
        <v>1016.7</v>
      </c>
      <c r="H78" s="1">
        <v>1.31</v>
      </c>
      <c r="I78" s="1">
        <v>1.28</v>
      </c>
      <c r="J78" s="1">
        <v>1.22</v>
      </c>
      <c r="K78">
        <v>99523</v>
      </c>
      <c r="L78">
        <f t="shared" si="225"/>
        <v>0.42950236711160594</v>
      </c>
      <c r="M78" s="1">
        <v>94621</v>
      </c>
      <c r="N78">
        <f t="shared" si="226"/>
        <v>0.39118337715599211</v>
      </c>
      <c r="O78">
        <f t="shared" si="227"/>
        <v>-8.9217179903589836E-2</v>
      </c>
      <c r="P78">
        <f t="shared" si="228"/>
        <v>0.26685893090214224</v>
      </c>
      <c r="Q78">
        <f t="shared" si="229"/>
        <v>0.25882327410679856</v>
      </c>
      <c r="R78">
        <f t="shared" si="230"/>
        <v>1087.3489834156112</v>
      </c>
      <c r="S78">
        <f t="shared" si="231"/>
        <v>981.1786482838412</v>
      </c>
      <c r="T78">
        <f t="shared" si="232"/>
        <v>989.08000500179094</v>
      </c>
      <c r="U78">
        <v>92297.113769999996</v>
      </c>
      <c r="V78">
        <f t="shared" si="233"/>
        <v>1.0716261479925918E-2</v>
      </c>
      <c r="W78">
        <f t="shared" si="234"/>
        <v>781.23520414744257</v>
      </c>
      <c r="X78">
        <v>79429.064259999999</v>
      </c>
      <c r="Y78">
        <f t="shared" si="235"/>
        <v>9.8356339889662768E-3</v>
      </c>
      <c r="Z78" s="1">
        <v>7618</v>
      </c>
      <c r="AA78" s="1">
        <f t="shared" si="236"/>
        <v>3.2876310326821076E-2</v>
      </c>
      <c r="AB78" s="1">
        <v>100327</v>
      </c>
      <c r="AC78" s="1">
        <f t="shared" si="145"/>
        <v>0.43297211684943271</v>
      </c>
      <c r="AD78" s="1">
        <v>61.278341249999997</v>
      </c>
      <c r="AE78" s="1">
        <v>10479</v>
      </c>
      <c r="AF78">
        <f t="shared" si="165"/>
        <v>1.3755578892097664</v>
      </c>
      <c r="AG78">
        <f t="shared" si="166"/>
        <v>0.10444845355686903</v>
      </c>
      <c r="AH78">
        <f t="shared" si="222"/>
        <v>7.0656631367193336E-3</v>
      </c>
      <c r="AI78">
        <v>52858</v>
      </c>
      <c r="AJ78">
        <f t="shared" si="167"/>
        <v>69243.98</v>
      </c>
      <c r="AK78">
        <f t="shared" si="146"/>
        <v>0.29494754588696626</v>
      </c>
      <c r="AL78">
        <f t="shared" si="168"/>
        <v>40.567501634999999</v>
      </c>
      <c r="AM78">
        <f t="shared" si="169"/>
        <v>7.2705375978218351E-3</v>
      </c>
      <c r="AN78">
        <v>72.510000000000005</v>
      </c>
      <c r="AO78">
        <f t="shared" si="170"/>
        <v>72510</v>
      </c>
      <c r="AP78">
        <f t="shared" si="171"/>
        <v>92812.800000000003</v>
      </c>
      <c r="AQ78">
        <f t="shared" si="147"/>
        <v>0.3919451183591251</v>
      </c>
      <c r="AR78">
        <f t="shared" si="172"/>
        <v>51.759606732800002</v>
      </c>
      <c r="AS78">
        <f t="shared" si="173"/>
        <v>7.5724129895822787E-3</v>
      </c>
      <c r="AT78" s="1">
        <v>9194</v>
      </c>
      <c r="AU78" s="1">
        <f t="shared" si="237"/>
        <v>3.8009955185130062E-2</v>
      </c>
      <c r="AV78" s="1">
        <f t="shared" si="238"/>
        <v>0.15615027377694715</v>
      </c>
      <c r="AW78" s="1">
        <v>82035</v>
      </c>
      <c r="AX78" s="1">
        <f t="shared" si="174"/>
        <v>100082.7</v>
      </c>
      <c r="AY78" s="1">
        <f t="shared" si="148"/>
        <v>0.41376320881083495</v>
      </c>
      <c r="AZ78" s="1">
        <f t="shared" si="239"/>
        <v>-4.4365231133989429E-2</v>
      </c>
      <c r="BA78" s="1">
        <f t="shared" si="175"/>
        <v>60.4858519474</v>
      </c>
      <c r="BB78" s="1">
        <v>8482</v>
      </c>
      <c r="BC78" s="1">
        <f t="shared" si="176"/>
        <v>10348.039999999999</v>
      </c>
      <c r="BD78" s="1">
        <f t="shared" si="177"/>
        <v>1.1255209919512725</v>
      </c>
      <c r="BE78" s="1">
        <f t="shared" si="178"/>
        <v>0.10339489242396538</v>
      </c>
      <c r="BF78" s="1">
        <f t="shared" si="179"/>
        <v>6.8406610056621787E-3</v>
      </c>
      <c r="BG78" s="1">
        <v>1953</v>
      </c>
      <c r="BH78" s="1">
        <f t="shared" si="240"/>
        <v>8.4283846243478032E-3</v>
      </c>
      <c r="BI78" s="1">
        <v>57938.519</v>
      </c>
      <c r="BJ78" s="1">
        <f t="shared" si="149"/>
        <v>0.25004000138099491</v>
      </c>
      <c r="BK78" s="1">
        <v>101.2013381</v>
      </c>
      <c r="BL78" s="1">
        <v>3314.4850000000001</v>
      </c>
      <c r="BM78">
        <f t="shared" si="150"/>
        <v>1.6971249359959037</v>
      </c>
      <c r="BN78">
        <f t="shared" si="151"/>
        <v>5.7206933439220287E-2</v>
      </c>
      <c r="BO78">
        <f t="shared" si="180"/>
        <v>2.470718333130369E-3</v>
      </c>
      <c r="BP78">
        <v>35067</v>
      </c>
      <c r="BQ78">
        <f t="shared" si="181"/>
        <v>45937.770000000004</v>
      </c>
      <c r="BR78">
        <f t="shared" si="152"/>
        <v>0.19567379756362796</v>
      </c>
      <c r="BS78">
        <f t="shared" si="182"/>
        <v>59.525235619600004</v>
      </c>
      <c r="BT78">
        <f t="shared" si="183"/>
        <v>3.2872410420026633E-3</v>
      </c>
      <c r="BU78">
        <v>34.96</v>
      </c>
      <c r="BV78">
        <f t="shared" si="184"/>
        <v>34960</v>
      </c>
      <c r="BW78">
        <f t="shared" si="185"/>
        <v>44748.800000000003</v>
      </c>
      <c r="BX78">
        <f t="shared" si="154"/>
        <v>0.18897257395993675</v>
      </c>
      <c r="BY78">
        <f t="shared" si="186"/>
        <v>76.247206297600002</v>
      </c>
      <c r="BZ78">
        <f t="shared" si="187"/>
        <v>2.4784196449422562E-3</v>
      </c>
      <c r="CA78" s="1">
        <v>2054</v>
      </c>
      <c r="CB78" s="1">
        <f t="shared" si="241"/>
        <v>8.491673694828927E-3</v>
      </c>
      <c r="CC78" s="1">
        <f t="shared" si="242"/>
        <v>7.5090391933817493E-3</v>
      </c>
      <c r="CD78" s="1">
        <v>45386</v>
      </c>
      <c r="CE78" s="1">
        <f t="shared" si="188"/>
        <v>55370.92</v>
      </c>
      <c r="CF78">
        <f t="shared" si="155"/>
        <v>0.22891518248416595</v>
      </c>
      <c r="CG78">
        <f t="shared" si="243"/>
        <v>-8.4485757399434327E-2</v>
      </c>
      <c r="CH78">
        <f t="shared" si="189"/>
        <v>90.917938902799989</v>
      </c>
      <c r="CI78" s="1">
        <v>2978</v>
      </c>
      <c r="CJ78" s="1">
        <f t="shared" si="190"/>
        <v>3633.16</v>
      </c>
      <c r="CK78">
        <f t="shared" si="191"/>
        <v>1.768821811100292</v>
      </c>
      <c r="CL78">
        <f t="shared" si="192"/>
        <v>6.5614947340589605E-2</v>
      </c>
      <c r="CM78">
        <f t="shared" si="193"/>
        <v>2.5178219529250249E-3</v>
      </c>
      <c r="CN78" s="1">
        <v>47350</v>
      </c>
      <c r="CO78" s="1">
        <f t="shared" si="244"/>
        <v>0.20434409214688606</v>
      </c>
      <c r="CP78" s="1">
        <v>229028386</v>
      </c>
      <c r="CQ78" s="1">
        <f t="shared" si="156"/>
        <v>988.39699288356053</v>
      </c>
      <c r="CR78" s="1">
        <v>108123.0123</v>
      </c>
      <c r="CS78" s="1">
        <v>61879198</v>
      </c>
      <c r="CT78">
        <f t="shared" si="194"/>
        <v>1306.8468426610348</v>
      </c>
      <c r="CU78">
        <f t="shared" si="195"/>
        <v>0.2701813477391401</v>
      </c>
      <c r="CV78">
        <f t="shared" si="196"/>
        <v>9.1414119146175556E-3</v>
      </c>
      <c r="CW78" s="1">
        <v>40612</v>
      </c>
      <c r="CX78" s="1">
        <f t="shared" si="245"/>
        <v>0.16789866216864283</v>
      </c>
      <c r="CY78" s="1">
        <f t="shared" si="246"/>
        <v>-0.17835323544389839</v>
      </c>
      <c r="CZ78" s="1">
        <v>154764625</v>
      </c>
      <c r="DA78" s="1">
        <f t="shared" si="143"/>
        <v>188812842.5</v>
      </c>
      <c r="DB78" s="1">
        <f t="shared" si="157"/>
        <v>780.59252575614755</v>
      </c>
      <c r="DC78" s="1">
        <f t="shared" si="247"/>
        <v>-0.21024392893098742</v>
      </c>
      <c r="DD78" s="1">
        <f t="shared" si="197"/>
        <v>93954.54819500001</v>
      </c>
      <c r="DE78" s="1">
        <v>41696675</v>
      </c>
      <c r="DF78" s="1">
        <f t="shared" si="198"/>
        <v>50869943.5</v>
      </c>
      <c r="DG78">
        <f t="shared" si="199"/>
        <v>1252.5840515118684</v>
      </c>
      <c r="DH78">
        <f t="shared" si="200"/>
        <v>0.26941993365731992</v>
      </c>
      <c r="DI78">
        <f t="shared" si="201"/>
        <v>8.3081930651834959E-3</v>
      </c>
      <c r="DJ78" s="1">
        <v>7580281</v>
      </c>
      <c r="DK78">
        <f t="shared" si="158"/>
        <v>32.713529866172962</v>
      </c>
      <c r="DL78">
        <v>1889.3069949999999</v>
      </c>
      <c r="DM78" s="1">
        <v>1290379</v>
      </c>
      <c r="DN78" s="3">
        <f t="shared" si="202"/>
        <v>1.7315094874865988E-2</v>
      </c>
      <c r="DO78" s="1">
        <v>6253180</v>
      </c>
      <c r="DP78" s="1">
        <f t="shared" si="203"/>
        <v>7628879.5999999996</v>
      </c>
      <c r="DQ78" s="3">
        <f t="shared" si="159"/>
        <v>31.53941393395181</v>
      </c>
      <c r="DR78" s="3">
        <f t="shared" si="204"/>
        <v>1905.8896083399998</v>
      </c>
      <c r="DS78" s="3">
        <f t="shared" si="205"/>
        <v>1060855.943380506</v>
      </c>
      <c r="DT78" s="3">
        <f t="shared" si="206"/>
        <v>1.6548394931132526E-2</v>
      </c>
      <c r="DU78" s="3">
        <f t="shared" si="207"/>
        <v>0.82212740859895117</v>
      </c>
      <c r="DV78" s="3">
        <f t="shared" si="208"/>
        <v>427.56631996686002</v>
      </c>
      <c r="DW78" s="3">
        <f t="shared" si="209"/>
        <v>0.14504441802618406</v>
      </c>
      <c r="DX78" s="3">
        <f t="shared" si="210"/>
        <v>236766932.51899999</v>
      </c>
      <c r="DY78" s="3">
        <f t="shared" si="248"/>
        <v>1021.7935348679639</v>
      </c>
      <c r="DZ78" s="3">
        <f t="shared" si="211"/>
        <v>236608667</v>
      </c>
      <c r="EA78" s="3">
        <f t="shared" si="212"/>
        <v>115181.75</v>
      </c>
      <c r="EB78" s="3">
        <f t="shared" si="249"/>
        <v>0.49062134345059422</v>
      </c>
      <c r="EC78" s="3">
        <f t="shared" si="213"/>
        <v>137561.60000000001</v>
      </c>
      <c r="ED78" s="3">
        <f t="shared" si="250"/>
        <v>0.58091769231906187</v>
      </c>
      <c r="EE78" s="9">
        <f t="shared" si="214"/>
        <v>196597175.72</v>
      </c>
      <c r="EF78" s="13">
        <f t="shared" si="251"/>
        <v>812.77461808139435</v>
      </c>
      <c r="EG78" s="14">
        <f t="shared" si="252"/>
        <v>-0.20456081356355318</v>
      </c>
      <c r="EH78" s="9">
        <f t="shared" si="215"/>
        <v>196441722.09999999</v>
      </c>
      <c r="EI78" s="10">
        <v>144837</v>
      </c>
      <c r="EJ78" s="10">
        <f t="shared" si="160"/>
        <v>189736.47</v>
      </c>
      <c r="EK78" s="10">
        <f t="shared" si="253"/>
        <v>0.80819020211946224</v>
      </c>
      <c r="EL78" s="10">
        <v>436000</v>
      </c>
      <c r="EM78" s="10">
        <f t="shared" si="161"/>
        <v>558080</v>
      </c>
      <c r="EN78" s="10">
        <f t="shared" si="254"/>
        <v>2.3567517805072202</v>
      </c>
      <c r="EO78" s="11">
        <v>3016080</v>
      </c>
      <c r="EP78" s="11">
        <f t="shared" si="162"/>
        <v>3679617.6</v>
      </c>
      <c r="EQ78" s="11">
        <f t="shared" si="255"/>
        <v>15.212323262390237</v>
      </c>
      <c r="ER78" s="10">
        <f t="shared" si="256"/>
        <v>18.377265245016918</v>
      </c>
      <c r="ES78" s="10">
        <f t="shared" si="216"/>
        <v>6.5933514908256878</v>
      </c>
      <c r="ET78" s="12">
        <v>281801</v>
      </c>
      <c r="EU78" s="12">
        <f t="shared" si="163"/>
        <v>369159.31</v>
      </c>
      <c r="EV78" s="12">
        <f t="shared" si="257"/>
        <v>1.5724490782567062</v>
      </c>
      <c r="EW78" s="10">
        <v>41000</v>
      </c>
      <c r="EX78" s="10">
        <f t="shared" si="164"/>
        <v>52480</v>
      </c>
      <c r="EY78" s="10">
        <f t="shared" si="258"/>
        <v>0.22162115367155052</v>
      </c>
      <c r="EZ78" s="3">
        <f t="shared" si="217"/>
        <v>270327.41112385318</v>
      </c>
      <c r="FA78" s="3">
        <f t="shared" si="259"/>
        <v>1.1175911227028377</v>
      </c>
      <c r="FB78" s="3">
        <f t="shared" si="260"/>
        <v>2.9116613546310943</v>
      </c>
      <c r="FC78" s="1">
        <f t="shared" si="218"/>
        <v>0.33229999999999998</v>
      </c>
      <c r="FD78">
        <f>3.4/10</f>
        <v>0.33999999999999997</v>
      </c>
      <c r="FE78">
        <f>4.4</f>
        <v>4.4000000000000004</v>
      </c>
      <c r="FF78" s="7">
        <f t="shared" si="219"/>
        <v>14.550000000000002</v>
      </c>
      <c r="FG78" s="1">
        <f t="shared" si="220"/>
        <v>2.0300000000000002</v>
      </c>
      <c r="FH78">
        <v>2.63E-2</v>
      </c>
      <c r="FI78">
        <v>3.4000000000000002E-2</v>
      </c>
      <c r="FJ78">
        <v>4.41E-2</v>
      </c>
      <c r="FK78">
        <v>4.0899999999999999E-2</v>
      </c>
      <c r="FL78" s="1">
        <f t="shared" si="221"/>
        <v>2.5666666666666672E-3</v>
      </c>
    </row>
    <row r="79" spans="1:168">
      <c r="A79" t="s">
        <v>113</v>
      </c>
      <c r="B79" s="1" t="s">
        <v>26</v>
      </c>
      <c r="C79" s="1">
        <v>139840</v>
      </c>
      <c r="D79" s="6">
        <f t="shared" si="223"/>
        <v>139995.4</v>
      </c>
      <c r="E79" s="6">
        <f t="shared" si="224"/>
        <v>140099</v>
      </c>
      <c r="F79" s="1">
        <v>140358</v>
      </c>
      <c r="G79" s="1">
        <f t="shared" si="144"/>
        <v>51.8</v>
      </c>
      <c r="H79" s="1">
        <v>1.31</v>
      </c>
      <c r="I79" s="1">
        <v>1.28</v>
      </c>
      <c r="J79" s="1">
        <v>1.22</v>
      </c>
      <c r="K79">
        <v>47977</v>
      </c>
      <c r="L79">
        <f t="shared" si="225"/>
        <v>0.34308495423340962</v>
      </c>
      <c r="M79" s="1">
        <v>41012</v>
      </c>
      <c r="N79">
        <f t="shared" si="226"/>
        <v>0.29219567106969319</v>
      </c>
      <c r="O79">
        <f t="shared" si="227"/>
        <v>-0.14832851903233021</v>
      </c>
      <c r="P79">
        <f t="shared" si="228"/>
        <v>0.27218010989293207</v>
      </c>
      <c r="Q79">
        <f t="shared" si="229"/>
        <v>3.201300958946259E-3</v>
      </c>
      <c r="R79">
        <f t="shared" si="230"/>
        <v>1108.6704190460403</v>
      </c>
      <c r="S79">
        <f t="shared" si="231"/>
        <v>0.61804183512040778</v>
      </c>
      <c r="T79">
        <f t="shared" si="232"/>
        <v>695.75875328232269</v>
      </c>
      <c r="U79">
        <v>92297.113769999996</v>
      </c>
      <c r="V79">
        <f t="shared" si="233"/>
        <v>7.5382503836048474E-3</v>
      </c>
      <c r="W79">
        <f t="shared" si="234"/>
        <v>0.58228971629689785</v>
      </c>
      <c r="X79">
        <v>79429.064259999999</v>
      </c>
      <c r="Y79">
        <f t="shared" si="235"/>
        <v>7.3309401504574373E-6</v>
      </c>
      <c r="Z79" s="1">
        <v>5020</v>
      </c>
      <c r="AA79" s="1">
        <f t="shared" si="236"/>
        <v>3.5898169336384442E-2</v>
      </c>
      <c r="AB79" s="1">
        <v>52639</v>
      </c>
      <c r="AC79" s="1">
        <f t="shared" si="145"/>
        <v>0.37642305491990846</v>
      </c>
      <c r="AD79" s="1">
        <v>61.278341249999997</v>
      </c>
      <c r="AE79" s="1">
        <v>5734</v>
      </c>
      <c r="AF79">
        <f t="shared" si="165"/>
        <v>1.1422310756972112</v>
      </c>
      <c r="AG79">
        <f t="shared" si="166"/>
        <v>0.10893064077965008</v>
      </c>
      <c r="AH79">
        <f t="shared" si="222"/>
        <v>6.142840149412636E-3</v>
      </c>
      <c r="AI79">
        <v>23724</v>
      </c>
      <c r="AJ79">
        <f t="shared" si="167"/>
        <v>31078.440000000002</v>
      </c>
      <c r="AK79">
        <f t="shared" si="146"/>
        <v>0.22199615130211423</v>
      </c>
      <c r="AL79">
        <f t="shared" si="168"/>
        <v>40.567501634999999</v>
      </c>
      <c r="AM79">
        <f t="shared" si="169"/>
        <v>5.4722657880066474E-3</v>
      </c>
      <c r="AN79">
        <v>34.85</v>
      </c>
      <c r="AO79">
        <f t="shared" si="170"/>
        <v>34850</v>
      </c>
      <c r="AP79">
        <f t="shared" si="171"/>
        <v>44608</v>
      </c>
      <c r="AQ79">
        <f t="shared" si="147"/>
        <v>0.31840341472815653</v>
      </c>
      <c r="AR79">
        <f t="shared" si="172"/>
        <v>51.759606732800002</v>
      </c>
      <c r="AS79">
        <f t="shared" si="173"/>
        <v>6.1515810267233862E-3</v>
      </c>
      <c r="AT79" s="1">
        <v>5240</v>
      </c>
      <c r="AU79" s="1">
        <f t="shared" si="237"/>
        <v>3.7333105344903743E-2</v>
      </c>
      <c r="AV79" s="1">
        <f t="shared" si="238"/>
        <v>3.9972400683533672E-2</v>
      </c>
      <c r="AW79" s="1">
        <v>43340</v>
      </c>
      <c r="AX79" s="1">
        <f t="shared" si="174"/>
        <v>52874.799999999996</v>
      </c>
      <c r="AY79" s="1">
        <f t="shared" si="148"/>
        <v>0.37671383177303747</v>
      </c>
      <c r="AZ79" s="1">
        <f t="shared" si="239"/>
        <v>7.7247354891924217E-4</v>
      </c>
      <c r="BA79" s="1">
        <f t="shared" si="175"/>
        <v>60.4858519474</v>
      </c>
      <c r="BB79" s="1">
        <v>4372</v>
      </c>
      <c r="BC79" s="1">
        <f t="shared" si="176"/>
        <v>5333.84</v>
      </c>
      <c r="BD79" s="1">
        <f t="shared" si="177"/>
        <v>1.017908396946565</v>
      </c>
      <c r="BE79" s="1">
        <f t="shared" si="178"/>
        <v>0.10087678818643286</v>
      </c>
      <c r="BF79" s="1">
        <f t="shared" si="179"/>
        <v>6.2281313669953296E-3</v>
      </c>
      <c r="BG79" s="1">
        <v>1064</v>
      </c>
      <c r="BH79" s="1">
        <f t="shared" si="240"/>
        <v>7.6086956521739134E-3</v>
      </c>
      <c r="BI79" s="1">
        <v>35623.059000000001</v>
      </c>
      <c r="BJ79" s="1">
        <f t="shared" si="149"/>
        <v>0.25474155463386727</v>
      </c>
      <c r="BK79" s="1">
        <v>101.2013381</v>
      </c>
      <c r="BL79" s="1">
        <v>1601.8820000000001</v>
      </c>
      <c r="BM79">
        <f t="shared" si="150"/>
        <v>1.5055281954887219</v>
      </c>
      <c r="BN79">
        <f t="shared" si="151"/>
        <v>4.4967558793870002E-2</v>
      </c>
      <c r="BO79">
        <f t="shared" si="180"/>
        <v>2.5171757549504897E-3</v>
      </c>
      <c r="BP79">
        <v>20983</v>
      </c>
      <c r="BQ79">
        <f t="shared" si="181"/>
        <v>27487.73</v>
      </c>
      <c r="BR79">
        <f t="shared" si="152"/>
        <v>0.19634737998534238</v>
      </c>
      <c r="BS79">
        <f t="shared" si="182"/>
        <v>59.525235619600004</v>
      </c>
      <c r="BT79">
        <f t="shared" si="183"/>
        <v>3.2985569555761766E-3</v>
      </c>
      <c r="BU79">
        <v>19.25</v>
      </c>
      <c r="BV79">
        <f t="shared" si="184"/>
        <v>19250</v>
      </c>
      <c r="BW79">
        <f t="shared" si="185"/>
        <v>24640</v>
      </c>
      <c r="BX79">
        <f t="shared" si="154"/>
        <v>0.17587563080393151</v>
      </c>
      <c r="BY79">
        <f t="shared" si="186"/>
        <v>76.247206297600002</v>
      </c>
      <c r="BZ79">
        <f t="shared" si="187"/>
        <v>2.3066501625970716E-3</v>
      </c>
      <c r="CA79" s="1">
        <v>1033</v>
      </c>
      <c r="CB79" s="1">
        <f t="shared" si="241"/>
        <v>7.3597514926117503E-3</v>
      </c>
      <c r="CC79" s="1">
        <f t="shared" si="242"/>
        <v>-3.2718375256741428E-2</v>
      </c>
      <c r="CD79" s="1">
        <v>23651</v>
      </c>
      <c r="CE79" s="1">
        <f t="shared" si="188"/>
        <v>28854.22</v>
      </c>
      <c r="CF79">
        <f t="shared" si="155"/>
        <v>0.20557588452386041</v>
      </c>
      <c r="CG79">
        <f t="shared" si="243"/>
        <v>-0.19300215930876008</v>
      </c>
      <c r="CH79">
        <f t="shared" si="189"/>
        <v>90.917938902799989</v>
      </c>
      <c r="CI79" s="1">
        <v>1392</v>
      </c>
      <c r="CJ79" s="1">
        <f t="shared" si="190"/>
        <v>1698.24</v>
      </c>
      <c r="CK79">
        <f t="shared" si="191"/>
        <v>1.6439883833494675</v>
      </c>
      <c r="CL79">
        <f t="shared" si="192"/>
        <v>5.8855862331402477E-2</v>
      </c>
      <c r="CM79">
        <f t="shared" si="193"/>
        <v>2.2611146601512907E-3</v>
      </c>
      <c r="CN79" s="1">
        <v>18047</v>
      </c>
      <c r="CO79" s="1">
        <f t="shared" si="244"/>
        <v>0.12905463386727689</v>
      </c>
      <c r="CP79" s="1">
        <v>97206642</v>
      </c>
      <c r="CQ79" s="1">
        <f t="shared" si="156"/>
        <v>695.12758867276887</v>
      </c>
      <c r="CR79" s="1">
        <v>108123.0123</v>
      </c>
      <c r="CS79" s="1">
        <v>26745990</v>
      </c>
      <c r="CT79">
        <f t="shared" si="194"/>
        <v>1482.0186180528619</v>
      </c>
      <c r="CU79">
        <f t="shared" si="195"/>
        <v>0.27514570454969528</v>
      </c>
      <c r="CV79">
        <f t="shared" si="196"/>
        <v>6.4290438629665226E-3</v>
      </c>
      <c r="CW79" s="1">
        <v>5105</v>
      </c>
      <c r="CX79" s="1">
        <f t="shared" si="245"/>
        <v>3.6371279157582752E-2</v>
      </c>
      <c r="CY79" s="1">
        <f t="shared" si="246"/>
        <v>-0.71817145911251878</v>
      </c>
      <c r="DB79" s="1">
        <f t="shared" si="157"/>
        <v>0</v>
      </c>
      <c r="DC79" s="1">
        <f t="shared" si="247"/>
        <v>-1</v>
      </c>
      <c r="DD79" s="1">
        <f t="shared" si="197"/>
        <v>93954.54819500001</v>
      </c>
      <c r="DI79">
        <f t="shared" si="201"/>
        <v>0</v>
      </c>
      <c r="DJ79" s="1">
        <v>1978099</v>
      </c>
      <c r="DK79">
        <f t="shared" si="158"/>
        <v>14.145444794050343</v>
      </c>
      <c r="DL79">
        <v>1889.3069949999999</v>
      </c>
      <c r="DM79" s="1">
        <v>266811</v>
      </c>
      <c r="DN79" s="3">
        <f t="shared" si="202"/>
        <v>7.4871076174946065E-3</v>
      </c>
      <c r="DO79" s="1">
        <v>1733527</v>
      </c>
      <c r="DP79" s="1">
        <f t="shared" si="203"/>
        <v>2114902.94</v>
      </c>
      <c r="DQ79" s="3">
        <f t="shared" si="159"/>
        <v>15.067918750623406</v>
      </c>
      <c r="DR79" s="3">
        <f t="shared" si="204"/>
        <v>1905.8896083399998</v>
      </c>
      <c r="DS79" s="3">
        <f t="shared" si="205"/>
        <v>70.130955125185281</v>
      </c>
      <c r="DT79" s="3">
        <f t="shared" si="206"/>
        <v>7.9059766550421198E-3</v>
      </c>
      <c r="DU79" s="3">
        <f t="shared" si="207"/>
        <v>2.6284881479843514E-4</v>
      </c>
      <c r="DV79" s="3">
        <f t="shared" si="208"/>
        <v>247.88804568405735</v>
      </c>
      <c r="DW79" s="3">
        <f t="shared" si="209"/>
        <v>9.8129425773508458E-2</v>
      </c>
      <c r="DX79" s="3">
        <f t="shared" si="210"/>
        <v>99273003.059</v>
      </c>
      <c r="DY79" s="3">
        <f t="shared" si="248"/>
        <v>709.90419807637295</v>
      </c>
      <c r="DZ79" s="3">
        <f t="shared" si="211"/>
        <v>99184741</v>
      </c>
      <c r="EA79" s="3">
        <f t="shared" si="212"/>
        <v>58566.17</v>
      </c>
      <c r="EB79" s="3">
        <f t="shared" si="249"/>
        <v>0.4183435312874566</v>
      </c>
      <c r="EC79" s="3">
        <f t="shared" si="213"/>
        <v>69248</v>
      </c>
      <c r="ED79" s="3">
        <f t="shared" si="250"/>
        <v>0.49427904553208801</v>
      </c>
      <c r="EE79" s="9">
        <f t="shared" si="214"/>
        <v>2196631.96</v>
      </c>
      <c r="EF79" s="13">
        <f t="shared" si="251"/>
        <v>15.650208466920304</v>
      </c>
      <c r="EG79" s="14">
        <f t="shared" si="252"/>
        <v>-0.97795447821082393</v>
      </c>
      <c r="EH79" s="9">
        <f t="shared" si="215"/>
        <v>2114902.94</v>
      </c>
      <c r="EI79" s="10">
        <v>97189</v>
      </c>
      <c r="EJ79" s="10">
        <f t="shared" si="160"/>
        <v>127317.59000000001</v>
      </c>
      <c r="EK79" s="10">
        <f t="shared" si="253"/>
        <v>0.9094412387835602</v>
      </c>
      <c r="EL79" s="10">
        <v>446000</v>
      </c>
      <c r="EM79" s="10">
        <f t="shared" si="161"/>
        <v>570880</v>
      </c>
      <c r="EN79" s="10">
        <f t="shared" si="254"/>
        <v>4.0748327968079714</v>
      </c>
      <c r="EO79" s="11">
        <v>2128498</v>
      </c>
      <c r="EP79" s="11">
        <f t="shared" si="162"/>
        <v>2596767.56</v>
      </c>
      <c r="EQ79" s="11">
        <f t="shared" si="255"/>
        <v>18.50102993773066</v>
      </c>
      <c r="ER79" s="10">
        <f t="shared" si="256"/>
        <v>23.485303973322193</v>
      </c>
      <c r="ES79" s="10">
        <f t="shared" si="216"/>
        <v>4.5487099915919282</v>
      </c>
      <c r="ET79" s="12">
        <v>58031</v>
      </c>
      <c r="EU79" s="12">
        <f t="shared" si="163"/>
        <v>76020.61</v>
      </c>
      <c r="EV79" s="12">
        <f t="shared" si="257"/>
        <v>0.54302219930083417</v>
      </c>
      <c r="EW79" s="10">
        <v>9000</v>
      </c>
      <c r="EX79" s="10">
        <f t="shared" si="164"/>
        <v>11520</v>
      </c>
      <c r="EY79" s="10">
        <f t="shared" si="258"/>
        <v>8.2227567648591349E-2</v>
      </c>
      <c r="EZ79" s="3">
        <f t="shared" si="217"/>
        <v>40938.389924327355</v>
      </c>
      <c r="FA79" s="3">
        <f t="shared" si="259"/>
        <v>0.29167122589611816</v>
      </c>
      <c r="FB79" s="3">
        <f t="shared" si="260"/>
        <v>0.91692099284554363</v>
      </c>
      <c r="FC79" s="1">
        <f t="shared" si="218"/>
        <v>0.22229999999999997</v>
      </c>
      <c r="FD79">
        <f>2.3/10</f>
        <v>0.22999999999999998</v>
      </c>
      <c r="FE79">
        <f>2.7</f>
        <v>2.7</v>
      </c>
      <c r="FF79" s="7">
        <f t="shared" si="219"/>
        <v>8.875</v>
      </c>
      <c r="FG79" s="1">
        <f t="shared" si="220"/>
        <v>1.2350000000000001</v>
      </c>
      <c r="FH79">
        <v>2.63E-2</v>
      </c>
      <c r="FI79">
        <v>3.4000000000000002E-2</v>
      </c>
      <c r="FJ79">
        <v>4.41E-2</v>
      </c>
      <c r="FK79">
        <v>4.0899999999999999E-2</v>
      </c>
      <c r="FL79" s="1">
        <f t="shared" si="221"/>
        <v>2.5666666666666672E-3</v>
      </c>
    </row>
    <row r="80" spans="1:168">
      <c r="A80" t="s">
        <v>113</v>
      </c>
      <c r="B80" s="1" t="s">
        <v>27</v>
      </c>
      <c r="C80" s="1">
        <v>203146</v>
      </c>
      <c r="D80" s="6">
        <f t="shared" si="223"/>
        <v>206239.9</v>
      </c>
      <c r="E80" s="6">
        <f t="shared" si="224"/>
        <v>208302.5</v>
      </c>
      <c r="F80" s="1">
        <v>213459</v>
      </c>
      <c r="G80" s="1">
        <f t="shared" si="144"/>
        <v>1031.3</v>
      </c>
      <c r="H80" s="1">
        <v>1.31</v>
      </c>
      <c r="I80" s="1">
        <v>1.28</v>
      </c>
      <c r="J80" s="1">
        <v>1.22</v>
      </c>
      <c r="K80">
        <v>65491</v>
      </c>
      <c r="L80">
        <f t="shared" si="225"/>
        <v>0.32238390123359556</v>
      </c>
      <c r="M80" s="1">
        <v>62909</v>
      </c>
      <c r="N80">
        <f t="shared" si="226"/>
        <v>0.29471233351603821</v>
      </c>
      <c r="O80">
        <f t="shared" si="227"/>
        <v>-8.5834210739657454E-2</v>
      </c>
      <c r="P80">
        <f t="shared" si="228"/>
        <v>0.17429712198688768</v>
      </c>
      <c r="Q80">
        <f t="shared" si="229"/>
        <v>0.18320135737474888</v>
      </c>
      <c r="R80">
        <f t="shared" si="230"/>
        <v>1151.5358798263765</v>
      </c>
      <c r="S80">
        <f t="shared" si="231"/>
        <v>1058.5860206636019</v>
      </c>
      <c r="T80">
        <f t="shared" si="232"/>
        <v>642.48503899658374</v>
      </c>
      <c r="U80">
        <v>92297.113769999996</v>
      </c>
      <c r="V80">
        <f t="shared" si="233"/>
        <v>6.9610523314697125E-3</v>
      </c>
      <c r="W80">
        <f t="shared" si="234"/>
        <v>583.80299204999562</v>
      </c>
      <c r="X80">
        <v>79429.064259999999</v>
      </c>
      <c r="Y80">
        <f t="shared" si="235"/>
        <v>7.3499920651085311E-3</v>
      </c>
      <c r="Z80" s="1">
        <v>5285</v>
      </c>
      <c r="AA80" s="1">
        <f t="shared" si="236"/>
        <v>2.6015771907888906E-2</v>
      </c>
      <c r="AB80" s="1">
        <v>64639</v>
      </c>
      <c r="AC80" s="1">
        <f t="shared" si="145"/>
        <v>0.31818987329309956</v>
      </c>
      <c r="AD80" s="1">
        <v>61.278341249999997</v>
      </c>
      <c r="AE80" s="1">
        <v>6733</v>
      </c>
      <c r="AF80">
        <f t="shared" si="165"/>
        <v>1.2739829706717123</v>
      </c>
      <c r="AG80">
        <f t="shared" si="166"/>
        <v>0.10416312133541671</v>
      </c>
      <c r="AH80">
        <f t="shared" si="222"/>
        <v>5.192534047143444E-3</v>
      </c>
      <c r="AI80">
        <v>29438</v>
      </c>
      <c r="AJ80">
        <f t="shared" si="167"/>
        <v>38563.78</v>
      </c>
      <c r="AK80">
        <f t="shared" si="146"/>
        <v>0.18698505963201106</v>
      </c>
      <c r="AL80">
        <f t="shared" si="168"/>
        <v>40.567501634999999</v>
      </c>
      <c r="AM80">
        <f t="shared" si="169"/>
        <v>4.6092328118793472E-3</v>
      </c>
      <c r="AN80">
        <v>35.229999999999997</v>
      </c>
      <c r="AO80">
        <f t="shared" si="170"/>
        <v>35230</v>
      </c>
      <c r="AP80">
        <f t="shared" si="171"/>
        <v>45094.400000000001</v>
      </c>
      <c r="AQ80">
        <f t="shared" si="147"/>
        <v>0.21648515980365093</v>
      </c>
      <c r="AR80">
        <f t="shared" si="172"/>
        <v>51.759606732800002</v>
      </c>
      <c r="AS80">
        <f t="shared" si="173"/>
        <v>4.1825116817679475E-3</v>
      </c>
      <c r="AT80" s="1">
        <v>6820</v>
      </c>
      <c r="AU80" s="1">
        <f t="shared" si="237"/>
        <v>3.1949929494657053E-2</v>
      </c>
      <c r="AV80" s="1">
        <f t="shared" si="238"/>
        <v>0.22809846303152356</v>
      </c>
      <c r="AW80" s="1">
        <v>59856</v>
      </c>
      <c r="AX80" s="1">
        <f t="shared" si="174"/>
        <v>73024.319999999992</v>
      </c>
      <c r="AY80" s="1">
        <f t="shared" si="148"/>
        <v>0.34209998172951245</v>
      </c>
      <c r="AZ80" s="1">
        <f t="shared" si="239"/>
        <v>7.5144152731687258E-2</v>
      </c>
      <c r="BA80" s="1">
        <f t="shared" si="175"/>
        <v>60.4858519474</v>
      </c>
      <c r="BB80" s="1">
        <v>5994</v>
      </c>
      <c r="BC80" s="1">
        <f t="shared" si="176"/>
        <v>7312.68</v>
      </c>
      <c r="BD80" s="1">
        <f t="shared" si="177"/>
        <v>1.0722404692082113</v>
      </c>
      <c r="BE80" s="1">
        <f t="shared" si="178"/>
        <v>0.10014033680834003</v>
      </c>
      <c r="BF80" s="1">
        <f t="shared" si="179"/>
        <v>5.6558677891651605E-3</v>
      </c>
      <c r="BG80" s="1">
        <v>863</v>
      </c>
      <c r="BH80" s="1">
        <f t="shared" si="240"/>
        <v>4.248176188554045E-3</v>
      </c>
      <c r="BI80" s="1">
        <v>24783.732</v>
      </c>
      <c r="BJ80" s="1">
        <f t="shared" si="149"/>
        <v>0.12199960619455957</v>
      </c>
      <c r="BK80" s="1">
        <v>101.2013381</v>
      </c>
      <c r="BL80" s="1">
        <v>1354.3869999999999</v>
      </c>
      <c r="BM80">
        <f t="shared" si="150"/>
        <v>1.5693939745075318</v>
      </c>
      <c r="BN80">
        <f t="shared" si="151"/>
        <v>5.4648226505999979E-2</v>
      </c>
      <c r="BO80">
        <f t="shared" si="180"/>
        <v>1.205513765776577E-3</v>
      </c>
      <c r="BP80">
        <v>14867</v>
      </c>
      <c r="BQ80">
        <f t="shared" si="181"/>
        <v>19475.77</v>
      </c>
      <c r="BR80">
        <f t="shared" si="152"/>
        <v>9.4432600093386401E-2</v>
      </c>
      <c r="BS80">
        <f t="shared" si="182"/>
        <v>59.525235619600004</v>
      </c>
      <c r="BT80">
        <f t="shared" si="183"/>
        <v>1.586429673237486E-3</v>
      </c>
      <c r="BU80">
        <v>17.22</v>
      </c>
      <c r="BV80">
        <f t="shared" si="184"/>
        <v>17220</v>
      </c>
      <c r="BW80">
        <f t="shared" si="185"/>
        <v>22041.600000000002</v>
      </c>
      <c r="BX80">
        <f t="shared" si="154"/>
        <v>0.10581534067041923</v>
      </c>
      <c r="BY80">
        <f t="shared" si="186"/>
        <v>76.247206297600002</v>
      </c>
      <c r="BZ80">
        <f t="shared" si="187"/>
        <v>1.3877930196866757E-3</v>
      </c>
      <c r="CA80" s="1">
        <v>960</v>
      </c>
      <c r="CB80" s="1">
        <f t="shared" si="241"/>
        <v>4.4973507793065644E-3</v>
      </c>
      <c r="CC80" s="1">
        <f t="shared" si="242"/>
        <v>5.8654485994219359E-2</v>
      </c>
      <c r="CD80" s="1">
        <v>25683</v>
      </c>
      <c r="CE80" s="1">
        <f t="shared" si="188"/>
        <v>31333.26</v>
      </c>
      <c r="CF80">
        <f t="shared" si="155"/>
        <v>0.14678818883251585</v>
      </c>
      <c r="CG80">
        <f t="shared" si="243"/>
        <v>0.20318575945585055</v>
      </c>
      <c r="CH80">
        <f t="shared" si="189"/>
        <v>90.917938902799989</v>
      </c>
      <c r="CI80" s="1">
        <v>1369</v>
      </c>
      <c r="CJ80" s="1">
        <f t="shared" si="190"/>
        <v>1670.18</v>
      </c>
      <c r="CK80">
        <f t="shared" si="191"/>
        <v>1.7397708333333335</v>
      </c>
      <c r="CL80">
        <f t="shared" si="192"/>
        <v>5.3303741774714794E-2</v>
      </c>
      <c r="CM80">
        <f t="shared" si="193"/>
        <v>1.614512939953979E-3</v>
      </c>
      <c r="CN80" s="1">
        <v>13665</v>
      </c>
      <c r="CO80" s="1">
        <f t="shared" si="244"/>
        <v>6.7266891792110109E-2</v>
      </c>
      <c r="CP80" s="1">
        <v>130428843</v>
      </c>
      <c r="CQ80" s="1">
        <f t="shared" si="156"/>
        <v>642.04484951709605</v>
      </c>
      <c r="CR80" s="1">
        <v>108123.0123</v>
      </c>
      <c r="CS80" s="1">
        <v>22807293</v>
      </c>
      <c r="CT80">
        <f t="shared" si="194"/>
        <v>1669.0298572996708</v>
      </c>
      <c r="CU80">
        <f t="shared" si="195"/>
        <v>0.17486387577631124</v>
      </c>
      <c r="CV80">
        <f t="shared" si="196"/>
        <v>5.9380962096733598E-3</v>
      </c>
      <c r="CW80" s="1">
        <v>14191</v>
      </c>
      <c r="CX80" s="1">
        <f t="shared" si="245"/>
        <v>6.6481150947020271E-2</v>
      </c>
      <c r="CY80" s="1">
        <f t="shared" si="246"/>
        <v>-1.168094472862205E-2</v>
      </c>
      <c r="CZ80" s="1">
        <v>102060365</v>
      </c>
      <c r="DA80" s="1">
        <f t="shared" ref="DA80:DA99" si="261">CZ80*J80</f>
        <v>124513645.3</v>
      </c>
      <c r="DB80" s="1">
        <f t="shared" si="157"/>
        <v>583.31410387943356</v>
      </c>
      <c r="DC80" s="1">
        <f t="shared" si="247"/>
        <v>-9.1474521884002194E-2</v>
      </c>
      <c r="DD80" s="1">
        <f t="shared" si="197"/>
        <v>93954.54819500001</v>
      </c>
      <c r="DE80" s="1">
        <v>19056730</v>
      </c>
      <c r="DF80" s="1">
        <f t="shared" ref="DF80:DF107" si="262">DE80*J80</f>
        <v>23249210.599999998</v>
      </c>
      <c r="DG80">
        <f t="shared" ref="DG80:DG107" si="263">DF80/CW80</f>
        <v>1638.3067155239235</v>
      </c>
      <c r="DH80">
        <f t="shared" ref="DH80:DH107" si="264">DF80/DA80</f>
        <v>0.18672018270755741</v>
      </c>
      <c r="DI80">
        <f t="shared" si="201"/>
        <v>6.2084711712814752E-3</v>
      </c>
      <c r="DJ80" s="1">
        <v>2243877</v>
      </c>
      <c r="DK80">
        <f t="shared" si="158"/>
        <v>11.045637127976923</v>
      </c>
      <c r="DL80">
        <v>1889.3069949999999</v>
      </c>
      <c r="DM80" s="1">
        <v>324679</v>
      </c>
      <c r="DN80" s="3">
        <f t="shared" si="202"/>
        <v>5.8463961427173581E-3</v>
      </c>
      <c r="DO80" s="1">
        <v>1914968</v>
      </c>
      <c r="DP80" s="1">
        <f t="shared" si="203"/>
        <v>2336260.96</v>
      </c>
      <c r="DQ80" s="3">
        <f t="shared" si="159"/>
        <v>10.944776092832816</v>
      </c>
      <c r="DR80" s="3">
        <f t="shared" si="204"/>
        <v>1905.8896083399998</v>
      </c>
      <c r="DS80" s="3">
        <f t="shared" si="205"/>
        <v>330980.54322609876</v>
      </c>
      <c r="DT80" s="3">
        <f t="shared" si="206"/>
        <v>5.7426075702073564E-3</v>
      </c>
      <c r="DU80" s="3">
        <f t="shared" si="207"/>
        <v>1.0194085334317857</v>
      </c>
      <c r="DV80" s="3">
        <f t="shared" si="208"/>
        <v>552.16532684521906</v>
      </c>
      <c r="DW80" s="3">
        <f t="shared" si="209"/>
        <v>0.11230658081805671</v>
      </c>
      <c r="DX80" s="3">
        <f t="shared" si="210"/>
        <v>132762142.73199999</v>
      </c>
      <c r="DY80" s="3">
        <f t="shared" si="248"/>
        <v>653.53067612456061</v>
      </c>
      <c r="DZ80" s="3">
        <f t="shared" si="211"/>
        <v>132672720</v>
      </c>
      <c r="EA80" s="3">
        <f t="shared" si="212"/>
        <v>58039.55</v>
      </c>
      <c r="EB80" s="3">
        <f t="shared" si="249"/>
        <v>0.28141765972539751</v>
      </c>
      <c r="EC80" s="3">
        <f t="shared" si="213"/>
        <v>67136</v>
      </c>
      <c r="ED80" s="3">
        <f t="shared" si="250"/>
        <v>0.32230050047407016</v>
      </c>
      <c r="EE80" s="9">
        <f t="shared" si="214"/>
        <v>126954263.83999999</v>
      </c>
      <c r="EF80" s="13">
        <f t="shared" si="251"/>
        <v>594.74776814282836</v>
      </c>
      <c r="EG80" s="14">
        <f t="shared" si="252"/>
        <v>-8.9946669879851879E-2</v>
      </c>
      <c r="EH80" s="9">
        <f t="shared" si="215"/>
        <v>126849906.25999999</v>
      </c>
      <c r="EI80" s="10">
        <v>105629</v>
      </c>
      <c r="EJ80" s="10">
        <f t="shared" si="160"/>
        <v>138373.99000000002</v>
      </c>
      <c r="EK80" s="10">
        <f t="shared" si="253"/>
        <v>0.67093704952339495</v>
      </c>
      <c r="EL80" s="10">
        <v>774000</v>
      </c>
      <c r="EM80" s="10">
        <f t="shared" si="161"/>
        <v>990720</v>
      </c>
      <c r="EN80" s="10">
        <f t="shared" si="254"/>
        <v>4.7561599116669271</v>
      </c>
      <c r="EO80" s="11">
        <v>2416912</v>
      </c>
      <c r="EP80" s="11">
        <f t="shared" si="162"/>
        <v>2948632.64</v>
      </c>
      <c r="EQ80" s="11">
        <f t="shared" si="255"/>
        <v>13.813578438950806</v>
      </c>
      <c r="ER80" s="10">
        <f t="shared" si="256"/>
        <v>19.240675400141129</v>
      </c>
      <c r="ES80" s="10">
        <f t="shared" si="216"/>
        <v>2.9762522609819122</v>
      </c>
      <c r="ET80" s="12">
        <v>94707</v>
      </c>
      <c r="EU80" s="12">
        <f t="shared" si="163"/>
        <v>124066.17</v>
      </c>
      <c r="EV80" s="12">
        <f t="shared" si="257"/>
        <v>0.60156240378316705</v>
      </c>
      <c r="EW80" s="10">
        <v>1000</v>
      </c>
      <c r="EX80" s="10">
        <f t="shared" si="164"/>
        <v>1280</v>
      </c>
      <c r="EY80" s="10">
        <f t="shared" si="258"/>
        <v>6.1449094465980967E-3</v>
      </c>
      <c r="EZ80" s="3">
        <f t="shared" si="217"/>
        <v>2976.2522609819121</v>
      </c>
      <c r="FA80" s="3">
        <f t="shared" si="259"/>
        <v>1.3942969193062425E-2</v>
      </c>
      <c r="FB80" s="3">
        <f t="shared" si="260"/>
        <v>0.62165028242282749</v>
      </c>
      <c r="FC80" s="1">
        <f t="shared" si="218"/>
        <v>0.14429999999999998</v>
      </c>
      <c r="FD80">
        <f>1.52/10</f>
        <v>0.152</v>
      </c>
      <c r="FE80">
        <f>2</f>
        <v>2</v>
      </c>
      <c r="FF80" s="7">
        <f t="shared" si="219"/>
        <v>6.62</v>
      </c>
      <c r="FG80" s="1">
        <f t="shared" si="220"/>
        <v>0.92400000000000004</v>
      </c>
      <c r="FH80">
        <v>2.63E-2</v>
      </c>
      <c r="FI80">
        <v>3.4000000000000002E-2</v>
      </c>
      <c r="FJ80">
        <v>4.41E-2</v>
      </c>
      <c r="FK80">
        <v>4.0899999999999999E-2</v>
      </c>
      <c r="FL80" s="1">
        <f t="shared" si="221"/>
        <v>2.5666666666666672E-3</v>
      </c>
    </row>
    <row r="81" spans="1:168">
      <c r="A81" t="s">
        <v>113</v>
      </c>
      <c r="B81" s="1" t="s">
        <v>28</v>
      </c>
      <c r="C81" s="1">
        <v>280264</v>
      </c>
      <c r="D81" s="6">
        <f t="shared" si="223"/>
        <v>289411.59999999998</v>
      </c>
      <c r="E81" s="6">
        <f t="shared" si="224"/>
        <v>295510</v>
      </c>
      <c r="F81" s="1">
        <v>310756</v>
      </c>
      <c r="G81" s="1">
        <f t="shared" si="144"/>
        <v>3049.2</v>
      </c>
      <c r="H81" s="1">
        <v>1.31</v>
      </c>
      <c r="I81" s="1">
        <v>1.28</v>
      </c>
      <c r="J81" s="1">
        <v>1.22</v>
      </c>
      <c r="K81">
        <v>114385</v>
      </c>
      <c r="L81">
        <f t="shared" si="225"/>
        <v>0.40813304598521394</v>
      </c>
      <c r="M81" s="1">
        <v>115598</v>
      </c>
      <c r="N81">
        <f t="shared" si="226"/>
        <v>0.37198959955720889</v>
      </c>
      <c r="O81">
        <f t="shared" si="227"/>
        <v>-8.8558000347059546E-2</v>
      </c>
      <c r="P81">
        <f t="shared" si="228"/>
        <v>0.17518579209595447</v>
      </c>
      <c r="Q81">
        <f t="shared" si="229"/>
        <v>0.15479866104367565</v>
      </c>
      <c r="R81">
        <f t="shared" si="230"/>
        <v>1191.2186251600513</v>
      </c>
      <c r="S81">
        <f t="shared" si="231"/>
        <v>1322.6767913043479</v>
      </c>
      <c r="T81">
        <f t="shared" si="232"/>
        <v>925.7262495932406</v>
      </c>
      <c r="U81">
        <v>92297.113769999996</v>
      </c>
      <c r="V81">
        <f t="shared" si="233"/>
        <v>1.0029850466398182E-2</v>
      </c>
      <c r="W81">
        <f t="shared" si="234"/>
        <v>1005.9491163485179</v>
      </c>
      <c r="X81">
        <v>79429.064259999999</v>
      </c>
      <c r="Y81">
        <f t="shared" si="235"/>
        <v>1.266474842326838E-2</v>
      </c>
      <c r="Z81" s="1">
        <v>5838</v>
      </c>
      <c r="AA81" s="1">
        <f t="shared" si="236"/>
        <v>2.0830359946336311E-2</v>
      </c>
      <c r="AB81" s="1">
        <v>80792</v>
      </c>
      <c r="AC81" s="1">
        <f t="shared" si="145"/>
        <v>0.28827105871606773</v>
      </c>
      <c r="AD81" s="1">
        <v>61.278341249999997</v>
      </c>
      <c r="AE81" s="1">
        <v>8196</v>
      </c>
      <c r="AF81">
        <f t="shared" si="165"/>
        <v>1.4039054470709147</v>
      </c>
      <c r="AG81">
        <f t="shared" si="166"/>
        <v>0.10144568769185068</v>
      </c>
      <c r="AH81">
        <f t="shared" si="222"/>
        <v>4.7042895227857977E-3</v>
      </c>
      <c r="AI81">
        <v>50042</v>
      </c>
      <c r="AJ81">
        <f t="shared" si="167"/>
        <v>65555.02</v>
      </c>
      <c r="AK81">
        <f t="shared" si="146"/>
        <v>0.22651137687639339</v>
      </c>
      <c r="AL81">
        <f t="shared" si="168"/>
        <v>40.567501634999999</v>
      </c>
      <c r="AM81">
        <f t="shared" si="169"/>
        <v>5.583567332156549E-3</v>
      </c>
      <c r="AN81">
        <v>68.709999999999994</v>
      </c>
      <c r="AO81">
        <f t="shared" si="170"/>
        <v>68710</v>
      </c>
      <c r="AP81">
        <f t="shared" si="171"/>
        <v>87948.800000000003</v>
      </c>
      <c r="AQ81">
        <f t="shared" si="147"/>
        <v>0.29761700111671346</v>
      </c>
      <c r="AR81">
        <f t="shared" si="172"/>
        <v>51.759606732800002</v>
      </c>
      <c r="AS81">
        <f t="shared" si="173"/>
        <v>5.74998574956548E-3</v>
      </c>
      <c r="AT81" s="1">
        <v>9631</v>
      </c>
      <c r="AU81" s="1">
        <f t="shared" si="237"/>
        <v>3.099216105240124E-2</v>
      </c>
      <c r="AV81" s="1">
        <f t="shared" si="238"/>
        <v>0.4878360783128094</v>
      </c>
      <c r="AW81" s="1">
        <v>91077</v>
      </c>
      <c r="AX81" s="1">
        <f t="shared" si="174"/>
        <v>111113.94</v>
      </c>
      <c r="AY81" s="1">
        <f t="shared" si="148"/>
        <v>0.35756007929050443</v>
      </c>
      <c r="AZ81" s="1">
        <f t="shared" si="239"/>
        <v>0.24036065529104275</v>
      </c>
      <c r="BA81" s="1">
        <f t="shared" si="175"/>
        <v>60.4858519474</v>
      </c>
      <c r="BB81" s="1">
        <v>9510</v>
      </c>
      <c r="BC81" s="1">
        <f t="shared" si="176"/>
        <v>11602.199999999999</v>
      </c>
      <c r="BD81" s="1">
        <f t="shared" si="177"/>
        <v>1.2046724120029071</v>
      </c>
      <c r="BE81" s="1">
        <f t="shared" si="178"/>
        <v>0.10441714153957639</v>
      </c>
      <c r="BF81" s="1">
        <f t="shared" si="179"/>
        <v>5.9114663640920124E-3</v>
      </c>
      <c r="BG81" s="1">
        <v>851</v>
      </c>
      <c r="BH81" s="1">
        <f t="shared" si="240"/>
        <v>3.036422801358719E-3</v>
      </c>
      <c r="BI81" s="1">
        <v>23934.616000000002</v>
      </c>
      <c r="BJ81" s="1">
        <f t="shared" si="149"/>
        <v>8.5400251191733514E-2</v>
      </c>
      <c r="BK81" s="1">
        <v>101.2013381</v>
      </c>
      <c r="BL81" s="1">
        <v>1498.82</v>
      </c>
      <c r="BM81">
        <f t="shared" si="150"/>
        <v>1.7612455934195064</v>
      </c>
      <c r="BN81">
        <f t="shared" si="151"/>
        <v>6.2621434996074296E-2</v>
      </c>
      <c r="BO81">
        <f t="shared" si="180"/>
        <v>8.4386484205719724E-4</v>
      </c>
      <c r="BP81">
        <v>10046</v>
      </c>
      <c r="BQ81">
        <f t="shared" si="181"/>
        <v>13160.26</v>
      </c>
      <c r="BR81">
        <f t="shared" si="152"/>
        <v>4.5472468968071778E-2</v>
      </c>
      <c r="BS81">
        <f t="shared" si="182"/>
        <v>59.525235619600004</v>
      </c>
      <c r="BT81">
        <f t="shared" si="183"/>
        <v>7.6391917637532141E-4</v>
      </c>
      <c r="BU81">
        <v>10.81</v>
      </c>
      <c r="BV81">
        <f t="shared" si="184"/>
        <v>10810</v>
      </c>
      <c r="BW81">
        <f t="shared" si="185"/>
        <v>13836.800000000001</v>
      </c>
      <c r="BX81">
        <f t="shared" si="154"/>
        <v>4.6823457751006735E-2</v>
      </c>
      <c r="BY81">
        <f t="shared" si="186"/>
        <v>76.247206297600002</v>
      </c>
      <c r="BZ81">
        <f t="shared" si="187"/>
        <v>6.1410063430062452E-4</v>
      </c>
      <c r="CA81" s="1">
        <v>649</v>
      </c>
      <c r="CB81" s="1">
        <f t="shared" si="241"/>
        <v>2.0884552510651443E-3</v>
      </c>
      <c r="CC81" s="1">
        <f t="shared" si="242"/>
        <v>-0.31219879849057391</v>
      </c>
      <c r="CD81" s="1">
        <v>17671</v>
      </c>
      <c r="CE81" s="1">
        <f t="shared" si="188"/>
        <v>21558.62</v>
      </c>
      <c r="CF81">
        <f t="shared" si="155"/>
        <v>6.9374750608194202E-2</v>
      </c>
      <c r="CG81">
        <f t="shared" si="243"/>
        <v>-0.18765167970712635</v>
      </c>
      <c r="CH81">
        <f t="shared" si="189"/>
        <v>90.917938902799989</v>
      </c>
      <c r="CI81" s="1">
        <v>1082</v>
      </c>
      <c r="CJ81" s="1">
        <f t="shared" si="190"/>
        <v>1320.04</v>
      </c>
      <c r="CK81">
        <f t="shared" si="191"/>
        <v>2.033959938366718</v>
      </c>
      <c r="CL81">
        <f t="shared" si="192"/>
        <v>6.1230264274800522E-2</v>
      </c>
      <c r="CM81">
        <f t="shared" si="193"/>
        <v>7.6304799080808986E-4</v>
      </c>
      <c r="CN81" s="1">
        <v>30799</v>
      </c>
      <c r="CO81" s="1">
        <f t="shared" si="244"/>
        <v>0.10989281534553136</v>
      </c>
      <c r="CP81" s="1">
        <v>259343015</v>
      </c>
      <c r="CQ81" s="1">
        <f t="shared" si="156"/>
        <v>925.35257828333283</v>
      </c>
      <c r="CR81" s="1">
        <v>108123.0123</v>
      </c>
      <c r="CS81" s="1">
        <v>44646709</v>
      </c>
      <c r="CT81">
        <f t="shared" si="194"/>
        <v>1449.6155394655671</v>
      </c>
      <c r="CU81">
        <f t="shared" si="195"/>
        <v>0.17215311929646535</v>
      </c>
      <c r="CV81">
        <f t="shared" si="196"/>
        <v>8.5583314652373302E-3</v>
      </c>
      <c r="CW81" s="1">
        <v>26520</v>
      </c>
      <c r="CX81" s="1">
        <f t="shared" si="245"/>
        <v>8.5340266961860756E-2</v>
      </c>
      <c r="CY81" s="1">
        <f t="shared" si="246"/>
        <v>-0.2234226897042455</v>
      </c>
      <c r="CZ81" s="1">
        <v>256124632</v>
      </c>
      <c r="DA81" s="1">
        <f t="shared" si="261"/>
        <v>312472051.04000002</v>
      </c>
      <c r="DB81" s="1">
        <f t="shared" si="157"/>
        <v>1005.5221815186192</v>
      </c>
      <c r="DC81" s="1">
        <f t="shared" si="247"/>
        <v>8.6636818350917563E-2</v>
      </c>
      <c r="DD81" s="1">
        <f t="shared" si="197"/>
        <v>93954.54819500001</v>
      </c>
      <c r="DE81" s="1">
        <v>39886544</v>
      </c>
      <c r="DF81" s="1">
        <f t="shared" si="262"/>
        <v>48661583.68</v>
      </c>
      <c r="DG81">
        <f t="shared" si="263"/>
        <v>1834.9013453996984</v>
      </c>
      <c r="DH81">
        <f t="shared" si="264"/>
        <v>0.15573099583799499</v>
      </c>
      <c r="DI81">
        <f t="shared" si="201"/>
        <v>1.0702219326643839E-2</v>
      </c>
      <c r="DJ81" s="1">
        <v>872198</v>
      </c>
      <c r="DK81">
        <f t="shared" si="158"/>
        <v>3.112058630434162</v>
      </c>
      <c r="DL81">
        <v>1889.3069949999999</v>
      </c>
      <c r="DM81" s="1">
        <v>947951</v>
      </c>
      <c r="DN81" s="3">
        <f t="shared" si="202"/>
        <v>1.6471958441217553E-3</v>
      </c>
      <c r="DO81" s="1">
        <v>1502286</v>
      </c>
      <c r="DP81" s="1">
        <f t="shared" si="203"/>
        <v>1832788.92</v>
      </c>
      <c r="DQ81" s="3">
        <f t="shared" si="159"/>
        <v>5.8978392050354618</v>
      </c>
      <c r="DR81" s="3">
        <f t="shared" si="204"/>
        <v>1905.8896083399998</v>
      </c>
      <c r="DS81" s="3">
        <f t="shared" si="205"/>
        <v>1033245.9090829209</v>
      </c>
      <c r="DT81" s="3">
        <f t="shared" si="206"/>
        <v>3.0945334814918204E-3</v>
      </c>
      <c r="DU81" s="3">
        <f t="shared" si="207"/>
        <v>1.0899781835589823</v>
      </c>
      <c r="DV81" s="3">
        <f t="shared" si="208"/>
        <v>548.48677804268766</v>
      </c>
      <c r="DW81" s="3">
        <f t="shared" si="209"/>
        <v>0.10959977393946037</v>
      </c>
      <c r="DX81" s="3">
        <f t="shared" si="210"/>
        <v>260319939.616</v>
      </c>
      <c r="DY81" s="3">
        <f t="shared" si="248"/>
        <v>928.83830822367486</v>
      </c>
      <c r="DZ81" s="3">
        <f t="shared" si="211"/>
        <v>260215213</v>
      </c>
      <c r="EA81" s="3">
        <f t="shared" si="212"/>
        <v>78715.28</v>
      </c>
      <c r="EB81" s="3">
        <f t="shared" si="249"/>
        <v>0.27198384584446511</v>
      </c>
      <c r="EC81" s="3">
        <f t="shared" si="213"/>
        <v>101785.60000000001</v>
      </c>
      <c r="ED81" s="3">
        <f t="shared" si="250"/>
        <v>0.34444045886772023</v>
      </c>
      <c r="EE81" s="9">
        <f t="shared" si="214"/>
        <v>314437512.52000004</v>
      </c>
      <c r="EF81" s="13">
        <f t="shared" si="251"/>
        <v>1011.8469555535534</v>
      </c>
      <c r="EG81" s="14">
        <f t="shared" si="252"/>
        <v>8.9368242669303294E-2</v>
      </c>
      <c r="EH81" s="9">
        <f t="shared" si="215"/>
        <v>314304839.96000004</v>
      </c>
      <c r="EI81" s="10">
        <v>87142</v>
      </c>
      <c r="EJ81" s="10">
        <f t="shared" si="160"/>
        <v>114156.02</v>
      </c>
      <c r="EK81" s="10">
        <f t="shared" si="253"/>
        <v>0.39444175699937395</v>
      </c>
      <c r="EL81" s="10">
        <v>536000</v>
      </c>
      <c r="EM81" s="10">
        <f t="shared" si="161"/>
        <v>686080</v>
      </c>
      <c r="EN81" s="10">
        <f t="shared" si="254"/>
        <v>2.3216811613820174</v>
      </c>
      <c r="EO81" s="11">
        <v>1577638</v>
      </c>
      <c r="EP81" s="11">
        <f t="shared" si="162"/>
        <v>1924718.3599999999</v>
      </c>
      <c r="EQ81" s="11">
        <f t="shared" si="255"/>
        <v>6.1936643540269536</v>
      </c>
      <c r="ER81" s="10">
        <f t="shared" si="256"/>
        <v>8.9097872724083444</v>
      </c>
      <c r="ES81" s="10">
        <f t="shared" si="216"/>
        <v>2.8053847364738802</v>
      </c>
      <c r="ET81" s="12">
        <v>41388</v>
      </c>
      <c r="EU81" s="12">
        <f t="shared" si="163"/>
        <v>54218.28</v>
      </c>
      <c r="EV81" s="12">
        <f t="shared" si="257"/>
        <v>0.18733969198193853</v>
      </c>
      <c r="EW81" s="10">
        <v>16000</v>
      </c>
      <c r="EX81" s="10">
        <f t="shared" si="164"/>
        <v>20480</v>
      </c>
      <c r="EY81" s="10">
        <f t="shared" si="258"/>
        <v>6.9303915265134852E-2</v>
      </c>
      <c r="EZ81" s="3">
        <f t="shared" si="217"/>
        <v>44886.155783582086</v>
      </c>
      <c r="FA81" s="3">
        <f t="shared" si="259"/>
        <v>0.14444179930100171</v>
      </c>
      <c r="FB81" s="3">
        <f t="shared" si="260"/>
        <v>0.40108540654807506</v>
      </c>
      <c r="FC81" s="1">
        <f t="shared" si="218"/>
        <v>0.63729999999999998</v>
      </c>
      <c r="FD81">
        <f>6.45/10</f>
        <v>0.64500000000000002</v>
      </c>
      <c r="FE81">
        <f>7.1</f>
        <v>7.1</v>
      </c>
      <c r="FF81" s="7">
        <f t="shared" si="219"/>
        <v>23.237499999999997</v>
      </c>
      <c r="FG81" s="1">
        <f t="shared" si="220"/>
        <v>3.2275</v>
      </c>
      <c r="FH81">
        <v>2.63E-2</v>
      </c>
      <c r="FI81">
        <v>3.4000000000000002E-2</v>
      </c>
      <c r="FJ81">
        <v>4.41E-2</v>
      </c>
      <c r="FK81">
        <v>4.0899999999999999E-2</v>
      </c>
      <c r="FL81" s="1">
        <f t="shared" si="221"/>
        <v>2.5666666666666672E-3</v>
      </c>
    </row>
    <row r="82" spans="1:168">
      <c r="A82" t="s">
        <v>113</v>
      </c>
      <c r="B82" s="1" t="s">
        <v>29</v>
      </c>
      <c r="C82" s="1">
        <v>175277</v>
      </c>
      <c r="D82" s="6">
        <f t="shared" si="223"/>
        <v>176960.6</v>
      </c>
      <c r="E82" s="6">
        <f t="shared" si="224"/>
        <v>178083</v>
      </c>
      <c r="F82" s="1">
        <v>180889</v>
      </c>
      <c r="G82" s="1">
        <f t="shared" si="144"/>
        <v>561.20000000000005</v>
      </c>
      <c r="H82" s="1">
        <v>1.31</v>
      </c>
      <c r="I82" s="1">
        <v>1.28</v>
      </c>
      <c r="J82" s="1">
        <v>1.22</v>
      </c>
      <c r="K82">
        <v>66778</v>
      </c>
      <c r="L82">
        <f t="shared" si="225"/>
        <v>0.38098552576778472</v>
      </c>
      <c r="M82" s="1">
        <v>61269</v>
      </c>
      <c r="N82">
        <f t="shared" si="226"/>
        <v>0.33871047990756764</v>
      </c>
      <c r="O82">
        <f t="shared" si="227"/>
        <v>-0.1109623410890004</v>
      </c>
      <c r="P82">
        <f t="shared" si="228"/>
        <v>0.2058864356312356</v>
      </c>
      <c r="Q82">
        <f t="shared" si="229"/>
        <v>0.17042007009586724</v>
      </c>
      <c r="R82">
        <f t="shared" si="230"/>
        <v>1108.6597115924326</v>
      </c>
      <c r="S82">
        <f t="shared" si="231"/>
        <v>1109.6173253405993</v>
      </c>
      <c r="T82">
        <f t="shared" si="232"/>
        <v>927.86008250939938</v>
      </c>
      <c r="U82">
        <v>92297.113769999996</v>
      </c>
      <c r="V82">
        <f t="shared" si="233"/>
        <v>1.0052969639132839E-2</v>
      </c>
      <c r="W82">
        <f t="shared" si="234"/>
        <v>960.98337544018705</v>
      </c>
      <c r="X82">
        <v>79429.064259999999</v>
      </c>
      <c r="Y82">
        <f t="shared" si="235"/>
        <v>1.2098636492739503E-2</v>
      </c>
      <c r="Z82" s="1">
        <v>5909</v>
      </c>
      <c r="AA82" s="1">
        <f t="shared" si="236"/>
        <v>3.3712352447839704E-2</v>
      </c>
      <c r="AB82" s="1">
        <v>75093</v>
      </c>
      <c r="AC82" s="1">
        <f t="shared" si="145"/>
        <v>0.42842472201144471</v>
      </c>
      <c r="AD82" s="1">
        <v>61.278341249999997</v>
      </c>
      <c r="AE82" s="1">
        <v>7982</v>
      </c>
      <c r="AF82">
        <f t="shared" si="165"/>
        <v>1.3508207818581823</v>
      </c>
      <c r="AG82">
        <f t="shared" si="166"/>
        <v>0.10629486103897834</v>
      </c>
      <c r="AH82">
        <f t="shared" si="222"/>
        <v>6.9914542931829885E-3</v>
      </c>
      <c r="AI82">
        <v>35517</v>
      </c>
      <c r="AJ82">
        <f t="shared" si="167"/>
        <v>46527.270000000004</v>
      </c>
      <c r="AK82">
        <f t="shared" si="146"/>
        <v>0.26292445889084914</v>
      </c>
      <c r="AL82">
        <f t="shared" si="168"/>
        <v>40.567501634999999</v>
      </c>
      <c r="AM82">
        <f t="shared" si="169"/>
        <v>6.4811597533531266E-3</v>
      </c>
      <c r="AN82">
        <v>49.69</v>
      </c>
      <c r="AO82">
        <f t="shared" si="170"/>
        <v>49690</v>
      </c>
      <c r="AP82">
        <f t="shared" si="171"/>
        <v>63603.200000000004</v>
      </c>
      <c r="AQ82">
        <f t="shared" si="147"/>
        <v>0.35715480983586306</v>
      </c>
      <c r="AR82">
        <f t="shared" si="172"/>
        <v>51.759606732800002</v>
      </c>
      <c r="AS82">
        <f t="shared" si="173"/>
        <v>6.9002612728418294E-3</v>
      </c>
      <c r="AT82" s="1">
        <v>6861</v>
      </c>
      <c r="AU82" s="1">
        <f t="shared" si="237"/>
        <v>3.7929337881242087E-2</v>
      </c>
      <c r="AV82" s="1">
        <f t="shared" si="238"/>
        <v>0.12508724924868328</v>
      </c>
      <c r="AW82" s="1">
        <v>61868</v>
      </c>
      <c r="AX82" s="1">
        <f t="shared" si="174"/>
        <v>75478.959999999992</v>
      </c>
      <c r="AY82" s="1">
        <f t="shared" si="148"/>
        <v>0.41726672158063782</v>
      </c>
      <c r="AZ82" s="1">
        <f t="shared" si="239"/>
        <v>-2.6044249683865869E-2</v>
      </c>
      <c r="BA82" s="1">
        <f t="shared" si="175"/>
        <v>60.4858519474</v>
      </c>
      <c r="BB82" s="1">
        <v>6414</v>
      </c>
      <c r="BC82" s="1">
        <f t="shared" si="176"/>
        <v>7825.08</v>
      </c>
      <c r="BD82" s="1">
        <f t="shared" si="177"/>
        <v>1.140515959772628</v>
      </c>
      <c r="BE82" s="1">
        <f t="shared" si="178"/>
        <v>0.10367233464796019</v>
      </c>
      <c r="BF82" s="1">
        <f t="shared" si="179"/>
        <v>6.8985838530224112E-3</v>
      </c>
      <c r="BG82" s="1">
        <v>1356</v>
      </c>
      <c r="BH82" s="1">
        <f t="shared" si="240"/>
        <v>7.736325929813952E-3</v>
      </c>
      <c r="BI82" s="1">
        <v>34620.682000000001</v>
      </c>
      <c r="BJ82" s="1">
        <f t="shared" si="149"/>
        <v>0.19751982290888137</v>
      </c>
      <c r="BK82" s="1">
        <v>101.2013381</v>
      </c>
      <c r="BL82" s="1">
        <v>2264.6849999999999</v>
      </c>
      <c r="BM82">
        <f t="shared" si="150"/>
        <v>1.6701216814159292</v>
      </c>
      <c r="BN82">
        <f t="shared" si="151"/>
        <v>6.5414222631431693E-2</v>
      </c>
      <c r="BO82">
        <f t="shared" si="180"/>
        <v>1.9517510995131929E-3</v>
      </c>
      <c r="BP82">
        <v>14856</v>
      </c>
      <c r="BQ82">
        <f t="shared" si="181"/>
        <v>19461.36</v>
      </c>
      <c r="BR82">
        <f t="shared" si="152"/>
        <v>0.10997566689986359</v>
      </c>
      <c r="BS82">
        <f t="shared" si="182"/>
        <v>59.525235619600004</v>
      </c>
      <c r="BT82">
        <f t="shared" si="183"/>
        <v>1.8475469396319645E-3</v>
      </c>
      <c r="BU82">
        <v>22.06</v>
      </c>
      <c r="BV82">
        <f t="shared" si="184"/>
        <v>22060</v>
      </c>
      <c r="BW82">
        <f t="shared" si="185"/>
        <v>28236.799999999999</v>
      </c>
      <c r="BX82">
        <f t="shared" si="154"/>
        <v>0.15855977269026239</v>
      </c>
      <c r="BY82">
        <f t="shared" si="186"/>
        <v>76.247206297600002</v>
      </c>
      <c r="BZ82">
        <f t="shared" si="187"/>
        <v>2.0795486207243938E-3</v>
      </c>
      <c r="CA82" s="1">
        <v>1413</v>
      </c>
      <c r="CB82" s="1">
        <f t="shared" si="241"/>
        <v>7.8114202632553666E-3</v>
      </c>
      <c r="CC82" s="1">
        <f t="shared" si="242"/>
        <v>9.7067179075301102E-3</v>
      </c>
      <c r="CD82" s="1">
        <v>30025</v>
      </c>
      <c r="CE82" s="1">
        <f t="shared" si="188"/>
        <v>36630.5</v>
      </c>
      <c r="CF82">
        <f t="shared" si="155"/>
        <v>0.20250263974039329</v>
      </c>
      <c r="CG82">
        <f t="shared" si="243"/>
        <v>2.5226920306680094E-2</v>
      </c>
      <c r="CH82">
        <f t="shared" si="189"/>
        <v>90.917938902799989</v>
      </c>
      <c r="CI82" s="1">
        <v>2120</v>
      </c>
      <c r="CJ82" s="1">
        <f t="shared" si="190"/>
        <v>2586.4</v>
      </c>
      <c r="CK82">
        <f t="shared" si="191"/>
        <v>1.8304317055909414</v>
      </c>
      <c r="CL82">
        <f t="shared" si="192"/>
        <v>7.0607826810990842E-2</v>
      </c>
      <c r="CM82">
        <f t="shared" si="193"/>
        <v>2.227312257451063E-3</v>
      </c>
      <c r="CN82" s="1">
        <v>23022</v>
      </c>
      <c r="CO82" s="1">
        <f t="shared" si="244"/>
        <v>0.13134638315352271</v>
      </c>
      <c r="CP82" s="1">
        <v>162522818</v>
      </c>
      <c r="CQ82" s="1">
        <f t="shared" si="156"/>
        <v>927.23413796447903</v>
      </c>
      <c r="CR82" s="1">
        <v>108123.0123</v>
      </c>
      <c r="CS82" s="1">
        <v>33567730</v>
      </c>
      <c r="CT82">
        <f t="shared" si="194"/>
        <v>1458.0718443228216</v>
      </c>
      <c r="CU82">
        <f t="shared" si="195"/>
        <v>0.20654164389396693</v>
      </c>
      <c r="CV82">
        <f t="shared" si="196"/>
        <v>8.5757334931786666E-3</v>
      </c>
      <c r="CW82" s="1">
        <v>19251</v>
      </c>
      <c r="CX82" s="1">
        <f t="shared" si="245"/>
        <v>0.10642438180320528</v>
      </c>
      <c r="CY82" s="1">
        <f t="shared" si="246"/>
        <v>-0.18974257799841837</v>
      </c>
      <c r="CZ82" s="1">
        <v>142392797</v>
      </c>
      <c r="DA82" s="1">
        <f t="shared" si="261"/>
        <v>173719212.34</v>
      </c>
      <c r="DB82" s="1">
        <f t="shared" si="157"/>
        <v>960.36360607886604</v>
      </c>
      <c r="DC82" s="1">
        <f t="shared" si="247"/>
        <v>3.5729344679990796E-2</v>
      </c>
      <c r="DD82" s="1">
        <f t="shared" si="197"/>
        <v>93954.54819500001</v>
      </c>
      <c r="DE82" s="1">
        <v>25026070</v>
      </c>
      <c r="DF82" s="1">
        <f t="shared" si="262"/>
        <v>30531805.399999999</v>
      </c>
      <c r="DG82">
        <f t="shared" si="263"/>
        <v>1585.9854241338112</v>
      </c>
      <c r="DH82">
        <f t="shared" si="264"/>
        <v>0.17575376372443893</v>
      </c>
      <c r="DI82">
        <f t="shared" si="201"/>
        <v>1.0221576544497436E-2</v>
      </c>
      <c r="DJ82" s="1">
        <v>4994231</v>
      </c>
      <c r="DK82">
        <f t="shared" si="158"/>
        <v>28.493361935678955</v>
      </c>
      <c r="DL82">
        <v>1889.3069949999999</v>
      </c>
      <c r="DM82" s="1">
        <v>934100</v>
      </c>
      <c r="DN82" s="3">
        <f t="shared" si="202"/>
        <v>1.5081382756262413E-2</v>
      </c>
      <c r="DO82" s="1">
        <v>4414698</v>
      </c>
      <c r="DP82" s="1">
        <f t="shared" si="203"/>
        <v>5385931.5599999996</v>
      </c>
      <c r="DQ82" s="3">
        <f t="shared" si="159"/>
        <v>29.774787632194325</v>
      </c>
      <c r="DR82" s="3">
        <f t="shared" si="204"/>
        <v>1905.8896083399998</v>
      </c>
      <c r="DS82" s="3">
        <f t="shared" si="205"/>
        <v>849648.71633712016</v>
      </c>
      <c r="DT82" s="3">
        <f t="shared" si="206"/>
        <v>1.5622514285141468E-2</v>
      </c>
      <c r="DU82" s="3">
        <f t="shared" si="207"/>
        <v>0.90959074653369032</v>
      </c>
      <c r="DV82" s="3">
        <f t="shared" si="208"/>
        <v>508.34152643087833</v>
      </c>
      <c r="DW82" s="3">
        <f t="shared" si="209"/>
        <v>0.12138077545796117</v>
      </c>
      <c r="DX82" s="3">
        <f t="shared" si="210"/>
        <v>167626762.68200001</v>
      </c>
      <c r="DY82" s="3">
        <f t="shared" si="248"/>
        <v>956.35344444507848</v>
      </c>
      <c r="DZ82" s="3">
        <f t="shared" si="211"/>
        <v>167517049</v>
      </c>
      <c r="EA82" s="3">
        <f t="shared" si="212"/>
        <v>65988.63</v>
      </c>
      <c r="EB82" s="3">
        <f t="shared" si="249"/>
        <v>0.37290012579071274</v>
      </c>
      <c r="EC82" s="3">
        <f t="shared" si="213"/>
        <v>91840</v>
      </c>
      <c r="ED82" s="3">
        <f t="shared" si="250"/>
        <v>0.51571458252612545</v>
      </c>
      <c r="EE82" s="9">
        <f t="shared" si="214"/>
        <v>179217253.36000001</v>
      </c>
      <c r="EF82" s="13">
        <f t="shared" si="251"/>
        <v>990.75816307238154</v>
      </c>
      <c r="EG82" s="14">
        <f t="shared" si="252"/>
        <v>3.5974899057603434E-2</v>
      </c>
      <c r="EH82" s="9">
        <f t="shared" si="215"/>
        <v>179105143.90000001</v>
      </c>
      <c r="EI82" s="10">
        <v>47988</v>
      </c>
      <c r="EJ82" s="10">
        <f t="shared" si="160"/>
        <v>62864.280000000006</v>
      </c>
      <c r="EK82" s="10">
        <f t="shared" si="253"/>
        <v>0.35524450075327507</v>
      </c>
      <c r="EL82" s="10">
        <v>667000</v>
      </c>
      <c r="EM82" s="10">
        <f t="shared" si="161"/>
        <v>853760</v>
      </c>
      <c r="EN82" s="10">
        <f t="shared" si="254"/>
        <v>4.794169011079104</v>
      </c>
      <c r="EO82" s="11">
        <v>1743493</v>
      </c>
      <c r="EP82" s="11">
        <f t="shared" si="162"/>
        <v>2127061.46</v>
      </c>
      <c r="EQ82" s="11">
        <f t="shared" si="255"/>
        <v>11.758932052253039</v>
      </c>
      <c r="ER82" s="10">
        <f t="shared" si="256"/>
        <v>16.908345564085419</v>
      </c>
      <c r="ES82" s="10">
        <f t="shared" si="216"/>
        <v>2.4914044462143927</v>
      </c>
      <c r="ET82" s="12">
        <v>152549</v>
      </c>
      <c r="EU82" s="12">
        <f t="shared" si="163"/>
        <v>199839.19</v>
      </c>
      <c r="EV82" s="12">
        <f t="shared" si="257"/>
        <v>1.1292863496168073</v>
      </c>
      <c r="EW82" s="10">
        <v>2000</v>
      </c>
      <c r="EX82" s="10">
        <f t="shared" si="164"/>
        <v>2560</v>
      </c>
      <c r="EY82" s="10">
        <f t="shared" si="258"/>
        <v>1.4375319373550535E-2</v>
      </c>
      <c r="EZ82" s="3">
        <f t="shared" si="217"/>
        <v>4982.8088924287858</v>
      </c>
      <c r="FA82" s="3">
        <f t="shared" si="259"/>
        <v>2.7546223885525301E-2</v>
      </c>
      <c r="FB82" s="3">
        <f t="shared" si="260"/>
        <v>1.1712078928758831</v>
      </c>
      <c r="FC82" s="1">
        <f t="shared" si="218"/>
        <v>0.27530000000000004</v>
      </c>
      <c r="FD82">
        <f>2.83/10</f>
        <v>0.28300000000000003</v>
      </c>
      <c r="FE82">
        <f>3.6</f>
        <v>3.6</v>
      </c>
      <c r="FF82" s="7">
        <f t="shared" si="219"/>
        <v>11.8925</v>
      </c>
      <c r="FG82" s="1">
        <f t="shared" si="220"/>
        <v>1.6585000000000001</v>
      </c>
      <c r="FH82">
        <v>2.63E-2</v>
      </c>
      <c r="FI82">
        <v>3.4000000000000002E-2</v>
      </c>
      <c r="FJ82">
        <v>4.41E-2</v>
      </c>
      <c r="FK82">
        <v>4.0899999999999999E-2</v>
      </c>
      <c r="FL82" s="1">
        <f t="shared" si="221"/>
        <v>2.5666666666666672E-3</v>
      </c>
    </row>
    <row r="83" spans="1:168">
      <c r="A83" t="s">
        <v>113</v>
      </c>
      <c r="B83" s="1" t="s">
        <v>30</v>
      </c>
      <c r="C83" s="1">
        <v>310397</v>
      </c>
      <c r="D83" s="6">
        <f t="shared" si="223"/>
        <v>307650.8</v>
      </c>
      <c r="E83" s="6">
        <f t="shared" si="224"/>
        <v>305820</v>
      </c>
      <c r="F83" s="1">
        <v>301243</v>
      </c>
      <c r="G83" s="1">
        <f t="shared" si="144"/>
        <v>-915.4</v>
      </c>
      <c r="H83" s="1">
        <v>1.31</v>
      </c>
      <c r="I83" s="1">
        <v>1.28</v>
      </c>
      <c r="J83" s="1">
        <v>1.22</v>
      </c>
      <c r="K83">
        <v>112994</v>
      </c>
      <c r="L83">
        <f t="shared" si="225"/>
        <v>0.3640305801924632</v>
      </c>
      <c r="M83" s="1">
        <v>81165</v>
      </c>
      <c r="N83">
        <f t="shared" si="226"/>
        <v>0.26943364659095814</v>
      </c>
      <c r="O83">
        <f t="shared" si="227"/>
        <v>-0.25985985449764026</v>
      </c>
      <c r="P83">
        <f t="shared" si="228"/>
        <v>0.22791685796393849</v>
      </c>
      <c r="Q83">
        <f t="shared" si="229"/>
        <v>0.20529796832680164</v>
      </c>
      <c r="R83">
        <f t="shared" si="230"/>
        <v>567.40586673526298</v>
      </c>
      <c r="S83">
        <f t="shared" si="231"/>
        <v>544.01150506931515</v>
      </c>
      <c r="T83">
        <f t="shared" si="232"/>
        <v>241.73526269583792</v>
      </c>
      <c r="U83">
        <v>92297.113769999996</v>
      </c>
      <c r="V83">
        <f t="shared" si="233"/>
        <v>2.619098830091596E-3</v>
      </c>
      <c r="W83">
        <f t="shared" si="234"/>
        <v>207.2268146977689</v>
      </c>
      <c r="X83">
        <v>79429.064259999999</v>
      </c>
      <c r="Y83">
        <f t="shared" si="235"/>
        <v>2.6089545008290758E-3</v>
      </c>
      <c r="Z83" s="1">
        <v>9888</v>
      </c>
      <c r="AA83" s="1">
        <f t="shared" si="236"/>
        <v>3.1855977989477993E-2</v>
      </c>
      <c r="AB83" s="1">
        <v>109609</v>
      </c>
      <c r="AC83" s="1">
        <f t="shared" si="145"/>
        <v>0.35312519128728692</v>
      </c>
      <c r="AD83" s="1">
        <v>61.278341249999997</v>
      </c>
      <c r="AE83" s="1">
        <v>12247</v>
      </c>
      <c r="AF83">
        <f t="shared" si="165"/>
        <v>1.2385720064724919</v>
      </c>
      <c r="AG83">
        <f t="shared" si="166"/>
        <v>0.11173352553166255</v>
      </c>
      <c r="AH83">
        <f t="shared" si="222"/>
        <v>5.7626427883650808E-3</v>
      </c>
      <c r="AI83">
        <v>59639</v>
      </c>
      <c r="AJ83">
        <f t="shared" si="167"/>
        <v>78127.09</v>
      </c>
      <c r="AK83">
        <f t="shared" si="146"/>
        <v>0.25394729999076876</v>
      </c>
      <c r="AL83">
        <f t="shared" si="168"/>
        <v>40.567501634999999</v>
      </c>
      <c r="AM83">
        <f t="shared" si="169"/>
        <v>6.2598703335399212E-3</v>
      </c>
      <c r="AN83">
        <v>78.02</v>
      </c>
      <c r="AO83">
        <f t="shared" si="170"/>
        <v>78020</v>
      </c>
      <c r="AP83">
        <f t="shared" si="171"/>
        <v>99865.600000000006</v>
      </c>
      <c r="AQ83">
        <f t="shared" si="147"/>
        <v>0.32655025832188872</v>
      </c>
      <c r="AR83">
        <f t="shared" si="172"/>
        <v>51.759606732800002</v>
      </c>
      <c r="AS83">
        <f t="shared" si="173"/>
        <v>6.3089787371771932E-3</v>
      </c>
      <c r="AT83" s="1">
        <v>9159</v>
      </c>
      <c r="AU83" s="1">
        <f t="shared" si="237"/>
        <v>3.0404025985666057E-2</v>
      </c>
      <c r="AV83" s="1">
        <f t="shared" si="238"/>
        <v>-4.5578635328399432E-2</v>
      </c>
      <c r="AW83" s="1">
        <v>82450</v>
      </c>
      <c r="AX83" s="1">
        <f t="shared" si="174"/>
        <v>100589</v>
      </c>
      <c r="AY83" s="1">
        <f t="shared" si="148"/>
        <v>0.33391315316870435</v>
      </c>
      <c r="AZ83" s="1">
        <f t="shared" si="239"/>
        <v>-5.4405742191733122E-2</v>
      </c>
      <c r="BA83" s="1">
        <f t="shared" si="175"/>
        <v>60.4858519474</v>
      </c>
      <c r="BB83" s="1">
        <v>8306</v>
      </c>
      <c r="BC83" s="1">
        <f t="shared" si="176"/>
        <v>10133.32</v>
      </c>
      <c r="BD83" s="1">
        <f t="shared" si="177"/>
        <v>1.1063784255923135</v>
      </c>
      <c r="BE83" s="1">
        <f t="shared" si="178"/>
        <v>0.10073984232868405</v>
      </c>
      <c r="BF83" s="1">
        <f t="shared" si="179"/>
        <v>5.5205166566734236E-3</v>
      </c>
      <c r="BG83" s="1">
        <v>3349</v>
      </c>
      <c r="BH83" s="1">
        <f t="shared" si="240"/>
        <v>1.0789408402787398E-2</v>
      </c>
      <c r="BI83" s="1">
        <v>115802.33500000001</v>
      </c>
      <c r="BJ83" s="1">
        <f t="shared" si="149"/>
        <v>0.37307813864180389</v>
      </c>
      <c r="BK83" s="1">
        <v>101.2013381</v>
      </c>
      <c r="BL83" s="1">
        <v>5862.9530000000004</v>
      </c>
      <c r="BM83">
        <f t="shared" si="150"/>
        <v>1.7506578083009856</v>
      </c>
      <c r="BN83">
        <f t="shared" si="151"/>
        <v>5.0628970478013249E-2</v>
      </c>
      <c r="BO83">
        <f t="shared" si="180"/>
        <v>3.6864941279052504E-3</v>
      </c>
      <c r="BP83">
        <v>66265</v>
      </c>
      <c r="BQ83">
        <f t="shared" si="181"/>
        <v>86807.150000000009</v>
      </c>
      <c r="BR83">
        <f t="shared" si="152"/>
        <v>0.28216130105951298</v>
      </c>
      <c r="BS83">
        <f t="shared" si="182"/>
        <v>59.525235619600004</v>
      </c>
      <c r="BT83">
        <f t="shared" si="183"/>
        <v>4.7401962902370283E-3</v>
      </c>
      <c r="BU83">
        <v>50.31</v>
      </c>
      <c r="BV83">
        <f t="shared" si="184"/>
        <v>50310</v>
      </c>
      <c r="BW83">
        <f t="shared" si="185"/>
        <v>64396.800000000003</v>
      </c>
      <c r="BX83">
        <f t="shared" si="154"/>
        <v>0.21057092407298411</v>
      </c>
      <c r="BY83">
        <f t="shared" si="186"/>
        <v>76.247206297600002</v>
      </c>
      <c r="BZ83">
        <f t="shared" si="187"/>
        <v>2.7616870741611968E-3</v>
      </c>
      <c r="CA83" s="1">
        <v>2577</v>
      </c>
      <c r="CB83" s="1">
        <f t="shared" si="241"/>
        <v>8.5545556245290345E-3</v>
      </c>
      <c r="CC83" s="1">
        <f t="shared" si="242"/>
        <v>-0.20713394977995256</v>
      </c>
      <c r="CD83" s="1">
        <v>61307</v>
      </c>
      <c r="CE83" s="1">
        <f t="shared" si="188"/>
        <v>74794.539999999994</v>
      </c>
      <c r="CF83">
        <f t="shared" si="155"/>
        <v>0.24828640001593397</v>
      </c>
      <c r="CG83">
        <f t="shared" si="243"/>
        <v>-0.33449223018045487</v>
      </c>
      <c r="CH83">
        <f t="shared" si="189"/>
        <v>90.917938902799989</v>
      </c>
      <c r="CI83" s="1">
        <v>3928</v>
      </c>
      <c r="CJ83" s="1">
        <f t="shared" si="190"/>
        <v>4792.16</v>
      </c>
      <c r="CK83">
        <f t="shared" si="191"/>
        <v>1.8595886689949552</v>
      </c>
      <c r="CL83">
        <f t="shared" si="192"/>
        <v>6.4070986999853197E-2</v>
      </c>
      <c r="CM83">
        <f t="shared" si="193"/>
        <v>2.7308846088270433E-3</v>
      </c>
      <c r="CN83" s="1">
        <v>16891</v>
      </c>
      <c r="CO83" s="1">
        <f t="shared" si="244"/>
        <v>5.441740738473632E-2</v>
      </c>
      <c r="CP83" s="1">
        <v>74808489</v>
      </c>
      <c r="CQ83" s="1">
        <f t="shared" si="156"/>
        <v>241.00905936590883</v>
      </c>
      <c r="CR83" s="1">
        <v>108123.0123</v>
      </c>
      <c r="CS83" s="1">
        <v>17076694</v>
      </c>
      <c r="CT83">
        <f t="shared" si="194"/>
        <v>1010.993665265526</v>
      </c>
      <c r="CU83">
        <f t="shared" si="195"/>
        <v>0.22827214168167465</v>
      </c>
      <c r="CV83">
        <f t="shared" si="196"/>
        <v>2.2290264971271878E-3</v>
      </c>
      <c r="CW83" s="1">
        <v>12429</v>
      </c>
      <c r="CX83" s="1">
        <f t="shared" si="245"/>
        <v>4.1259050002821644E-2</v>
      </c>
      <c r="CY83" s="1">
        <f t="shared" si="246"/>
        <v>-0.24180419491292227</v>
      </c>
      <c r="CZ83" s="1">
        <v>51024790</v>
      </c>
      <c r="DA83" s="1">
        <f t="shared" si="261"/>
        <v>62250243.799999997</v>
      </c>
      <c r="DB83" s="1">
        <f t="shared" si="157"/>
        <v>206.64461514458426</v>
      </c>
      <c r="DC83" s="1">
        <f t="shared" si="247"/>
        <v>-0.14258569495991932</v>
      </c>
      <c r="DD83" s="1">
        <f t="shared" si="197"/>
        <v>93954.54819500001</v>
      </c>
      <c r="DE83" s="1">
        <v>10763207</v>
      </c>
      <c r="DF83" s="1">
        <f t="shared" si="262"/>
        <v>13131112.539999999</v>
      </c>
      <c r="DG83">
        <f t="shared" si="263"/>
        <v>1056.4898656368171</v>
      </c>
      <c r="DH83">
        <f t="shared" si="264"/>
        <v>0.2109407407654201</v>
      </c>
      <c r="DI83">
        <f t="shared" si="201"/>
        <v>2.1994104502072558E-3</v>
      </c>
      <c r="DJ83" s="1">
        <v>1493927</v>
      </c>
      <c r="DK83">
        <f t="shared" si="158"/>
        <v>4.8129556664529618</v>
      </c>
      <c r="DL83">
        <v>1889.3069949999999</v>
      </c>
      <c r="DM83" s="1">
        <v>347178</v>
      </c>
      <c r="DN83" s="3">
        <f t="shared" si="202"/>
        <v>2.5474714692690597E-3</v>
      </c>
      <c r="DO83" s="1">
        <v>1318290</v>
      </c>
      <c r="DP83" s="1">
        <f t="shared" si="203"/>
        <v>1608313.8</v>
      </c>
      <c r="DQ83" s="3">
        <f t="shared" si="159"/>
        <v>5.3389250538601729</v>
      </c>
      <c r="DR83" s="3">
        <f t="shared" si="204"/>
        <v>1905.8896083399998</v>
      </c>
      <c r="DS83" s="3">
        <f t="shared" si="205"/>
        <v>266982.59893800138</v>
      </c>
      <c r="DT83" s="3">
        <f t="shared" si="206"/>
        <v>2.8012771728737709E-3</v>
      </c>
      <c r="DU83" s="3">
        <f t="shared" si="207"/>
        <v>0.76900782577813509</v>
      </c>
      <c r="DV83" s="3">
        <f t="shared" si="208"/>
        <v>345.57312130195072</v>
      </c>
      <c r="DW83" s="3">
        <f t="shared" si="209"/>
        <v>0.12773103463088464</v>
      </c>
      <c r="DX83" s="3">
        <f t="shared" si="210"/>
        <v>76527827.334999993</v>
      </c>
      <c r="DY83" s="3">
        <f t="shared" si="248"/>
        <v>246.54821836229084</v>
      </c>
      <c r="DZ83" s="3">
        <f t="shared" si="211"/>
        <v>76302416</v>
      </c>
      <c r="EA83" s="3">
        <f t="shared" si="212"/>
        <v>164934.24</v>
      </c>
      <c r="EB83" s="3">
        <f t="shared" si="249"/>
        <v>0.53610860105028169</v>
      </c>
      <c r="EC83" s="3">
        <f t="shared" si="213"/>
        <v>164262.40000000002</v>
      </c>
      <c r="ED83" s="3">
        <f t="shared" si="250"/>
        <v>0.53712118239487283</v>
      </c>
      <c r="EE83" s="9">
        <f t="shared" si="214"/>
        <v>64033941.139999993</v>
      </c>
      <c r="EF83" s="13">
        <f t="shared" si="251"/>
        <v>212.56573975162905</v>
      </c>
      <c r="EG83" s="14">
        <f t="shared" si="252"/>
        <v>-0.13783299200615662</v>
      </c>
      <c r="EH83" s="9">
        <f t="shared" si="215"/>
        <v>63858557.599999994</v>
      </c>
      <c r="EI83" s="10">
        <v>194341</v>
      </c>
      <c r="EJ83" s="10">
        <f t="shared" si="160"/>
        <v>254586.71000000002</v>
      </c>
      <c r="EK83" s="10">
        <f t="shared" si="253"/>
        <v>0.82751843973752071</v>
      </c>
      <c r="EL83" s="10">
        <v>1149000</v>
      </c>
      <c r="EM83" s="10">
        <f t="shared" si="161"/>
        <v>1470720</v>
      </c>
      <c r="EN83" s="10">
        <f t="shared" si="254"/>
        <v>4.8091033941534231</v>
      </c>
      <c r="EO83" s="11">
        <v>4387505</v>
      </c>
      <c r="EP83" s="11">
        <f t="shared" si="162"/>
        <v>5352756.0999999996</v>
      </c>
      <c r="EQ83" s="11">
        <f t="shared" si="255"/>
        <v>17.768897866506439</v>
      </c>
      <c r="ER83" s="10">
        <f t="shared" si="256"/>
        <v>23.405519700397384</v>
      </c>
      <c r="ES83" s="10">
        <f t="shared" si="216"/>
        <v>3.6395480444952129</v>
      </c>
      <c r="ET83" s="12">
        <v>38192</v>
      </c>
      <c r="EU83" s="12">
        <f t="shared" si="163"/>
        <v>50031.520000000004</v>
      </c>
      <c r="EV83" s="12">
        <f t="shared" si="257"/>
        <v>0.16262437802859608</v>
      </c>
      <c r="EW83" s="10">
        <v>0</v>
      </c>
      <c r="EX83" s="10">
        <f t="shared" si="164"/>
        <v>0</v>
      </c>
      <c r="EY83" s="10">
        <f t="shared" si="258"/>
        <v>0</v>
      </c>
      <c r="EZ83" s="3">
        <f t="shared" si="217"/>
        <v>0</v>
      </c>
      <c r="FA83" s="3">
        <f t="shared" si="259"/>
        <v>0</v>
      </c>
      <c r="FB83" s="3">
        <f t="shared" si="260"/>
        <v>0.16262437802859608</v>
      </c>
      <c r="FC83" s="1">
        <f t="shared" si="218"/>
        <v>0.37230000000000002</v>
      </c>
      <c r="FD83">
        <f>3.8/10</f>
        <v>0.38</v>
      </c>
      <c r="FE83">
        <f>4.1</f>
        <v>4.0999999999999996</v>
      </c>
      <c r="FF83" s="7">
        <f t="shared" si="219"/>
        <v>13.399999999999999</v>
      </c>
      <c r="FG83" s="1">
        <f t="shared" si="220"/>
        <v>1.8599999999999999</v>
      </c>
      <c r="FH83">
        <v>2.63E-2</v>
      </c>
      <c r="FI83">
        <v>3.4000000000000002E-2</v>
      </c>
      <c r="FJ83">
        <v>4.41E-2</v>
      </c>
      <c r="FK83">
        <v>4.0899999999999999E-2</v>
      </c>
      <c r="FL83" s="1">
        <f t="shared" si="221"/>
        <v>2.5666666666666672E-3</v>
      </c>
    </row>
    <row r="84" spans="1:168">
      <c r="A84" t="s">
        <v>113</v>
      </c>
      <c r="B84" s="1" t="s">
        <v>31</v>
      </c>
      <c r="C84" s="1">
        <v>445109</v>
      </c>
      <c r="D84" s="6">
        <f t="shared" si="223"/>
        <v>444031.7</v>
      </c>
      <c r="E84" s="6">
        <f t="shared" si="224"/>
        <v>443313.5</v>
      </c>
      <c r="F84" s="1">
        <v>441518</v>
      </c>
      <c r="G84" s="1">
        <f t="shared" si="144"/>
        <v>-359.1</v>
      </c>
      <c r="H84" s="1">
        <v>1.31</v>
      </c>
      <c r="I84" s="1">
        <v>1.28</v>
      </c>
      <c r="J84" s="1">
        <v>1.22</v>
      </c>
      <c r="K84">
        <v>158364</v>
      </c>
      <c r="L84">
        <f t="shared" si="225"/>
        <v>0.35578700947408387</v>
      </c>
      <c r="M84" s="1">
        <v>119951</v>
      </c>
      <c r="N84">
        <f t="shared" si="226"/>
        <v>0.27167861785929454</v>
      </c>
      <c r="O84">
        <f t="shared" si="227"/>
        <v>-0.23640096286572243</v>
      </c>
      <c r="P84">
        <f t="shared" si="228"/>
        <v>0.21946531932528615</v>
      </c>
      <c r="Q84">
        <f t="shared" si="229"/>
        <v>0.19474205025041169</v>
      </c>
      <c r="R84">
        <f t="shared" si="230"/>
        <v>605.25298297493259</v>
      </c>
      <c r="S84">
        <f t="shared" si="231"/>
        <v>584.87153519683886</v>
      </c>
      <c r="T84">
        <f t="shared" si="232"/>
        <v>250.20795327211985</v>
      </c>
      <c r="U84">
        <v>92297.113769999996</v>
      </c>
      <c r="V84">
        <f t="shared" si="233"/>
        <v>2.7108968314613407E-3</v>
      </c>
      <c r="W84">
        <f t="shared" si="234"/>
        <v>226.81525559546836</v>
      </c>
      <c r="X84">
        <v>79429.064259999999</v>
      </c>
      <c r="Y84">
        <f t="shared" si="235"/>
        <v>2.8555700323123555E-3</v>
      </c>
      <c r="Z84" s="1">
        <v>12632</v>
      </c>
      <c r="AA84" s="1">
        <f t="shared" si="236"/>
        <v>2.8379565454753779E-2</v>
      </c>
      <c r="AB84" s="1">
        <v>144458</v>
      </c>
      <c r="AC84" s="1">
        <f t="shared" si="145"/>
        <v>0.32454522375418154</v>
      </c>
      <c r="AD84" s="1">
        <v>61.278341249999997</v>
      </c>
      <c r="AE84" s="1">
        <v>15457</v>
      </c>
      <c r="AF84">
        <f t="shared" si="165"/>
        <v>1.2236383787207092</v>
      </c>
      <c r="AG84">
        <f t="shared" si="166"/>
        <v>0.10699995846543632</v>
      </c>
      <c r="AH84">
        <f t="shared" si="222"/>
        <v>5.2962468815877352E-3</v>
      </c>
      <c r="AI84">
        <v>81675</v>
      </c>
      <c r="AJ84">
        <f t="shared" si="167"/>
        <v>106994.25</v>
      </c>
      <c r="AK84">
        <f t="shared" si="146"/>
        <v>0.24096083680511998</v>
      </c>
      <c r="AL84">
        <f t="shared" si="168"/>
        <v>40.567501634999999</v>
      </c>
      <c r="AM84">
        <f t="shared" si="169"/>
        <v>5.9397504675818818E-3</v>
      </c>
      <c r="AN84">
        <v>94.02</v>
      </c>
      <c r="AO84">
        <f t="shared" si="170"/>
        <v>94020</v>
      </c>
      <c r="AP84">
        <f t="shared" si="171"/>
        <v>120345.60000000001</v>
      </c>
      <c r="AQ84">
        <f t="shared" si="147"/>
        <v>0.27146838523979083</v>
      </c>
      <c r="AR84">
        <f t="shared" si="172"/>
        <v>51.759606732800002</v>
      </c>
      <c r="AS84">
        <f t="shared" si="173"/>
        <v>5.2447922690216581E-3</v>
      </c>
      <c r="AT84" s="1">
        <v>12338</v>
      </c>
      <c r="AU84" s="1">
        <f t="shared" si="237"/>
        <v>2.7944500563963418E-2</v>
      </c>
      <c r="AV84" s="1">
        <f t="shared" si="238"/>
        <v>-1.5330216788695897E-2</v>
      </c>
      <c r="AW84" s="1">
        <v>110921</v>
      </c>
      <c r="AX84" s="1">
        <f t="shared" si="174"/>
        <v>135323.62</v>
      </c>
      <c r="AY84" s="1">
        <f t="shared" si="148"/>
        <v>0.30649626968775906</v>
      </c>
      <c r="AZ84" s="1">
        <f t="shared" si="239"/>
        <v>-5.5613063281723725E-2</v>
      </c>
      <c r="BA84" s="1">
        <f t="shared" si="175"/>
        <v>60.4858519474</v>
      </c>
      <c r="BB84" s="1">
        <v>11103</v>
      </c>
      <c r="BC84" s="1">
        <f t="shared" si="176"/>
        <v>13545.66</v>
      </c>
      <c r="BD84" s="1">
        <f t="shared" si="177"/>
        <v>1.0978813421948452</v>
      </c>
      <c r="BE84" s="1">
        <f t="shared" si="178"/>
        <v>0.10009826813678203</v>
      </c>
      <c r="BF84" s="1">
        <f t="shared" si="179"/>
        <v>5.0672390289599597E-3</v>
      </c>
      <c r="BG84" s="1">
        <v>2402</v>
      </c>
      <c r="BH84" s="1">
        <f t="shared" si="240"/>
        <v>5.3964309865673354E-3</v>
      </c>
      <c r="BI84" s="1">
        <v>82076.873000000007</v>
      </c>
      <c r="BJ84" s="1">
        <f t="shared" si="149"/>
        <v>0.18439724427050455</v>
      </c>
      <c r="BK84" s="1">
        <v>101.2013381</v>
      </c>
      <c r="BL84" s="1">
        <v>4121.2950000000001</v>
      </c>
      <c r="BM84">
        <f t="shared" si="150"/>
        <v>1.7157764363030807</v>
      </c>
      <c r="BN84">
        <f t="shared" si="151"/>
        <v>5.0212622013511649E-2</v>
      </c>
      <c r="BO84">
        <f t="shared" si="180"/>
        <v>1.8220830646359266E-3</v>
      </c>
      <c r="BP84">
        <v>42796</v>
      </c>
      <c r="BQ84">
        <f t="shared" si="181"/>
        <v>56062.76</v>
      </c>
      <c r="BR84">
        <f t="shared" si="152"/>
        <v>0.12625846307819916</v>
      </c>
      <c r="BS84">
        <f t="shared" si="182"/>
        <v>59.525235619600004</v>
      </c>
      <c r="BT84">
        <f t="shared" si="183"/>
        <v>2.1210913617387807E-3</v>
      </c>
      <c r="BU84">
        <v>59.54</v>
      </c>
      <c r="BV84">
        <f t="shared" si="184"/>
        <v>59540</v>
      </c>
      <c r="BW84">
        <f t="shared" si="185"/>
        <v>76211.199999999997</v>
      </c>
      <c r="BX84">
        <f t="shared" si="154"/>
        <v>0.17191265323523872</v>
      </c>
      <c r="BY84">
        <f t="shared" si="186"/>
        <v>76.247206297600002</v>
      </c>
      <c r="BZ84">
        <f t="shared" si="187"/>
        <v>2.2546747819749292E-3</v>
      </c>
      <c r="CA84" s="1">
        <v>2805</v>
      </c>
      <c r="CB84" s="1">
        <f t="shared" si="241"/>
        <v>6.3530818675569282E-3</v>
      </c>
      <c r="CC84" s="1">
        <f t="shared" si="242"/>
        <v>0.17727473646394531</v>
      </c>
      <c r="CD84" s="1">
        <v>76085</v>
      </c>
      <c r="CE84" s="1">
        <f t="shared" si="188"/>
        <v>92823.7</v>
      </c>
      <c r="CF84">
        <f t="shared" si="155"/>
        <v>0.21023763470571979</v>
      </c>
      <c r="CG84">
        <f t="shared" si="243"/>
        <v>0.14013436338185326</v>
      </c>
      <c r="CH84">
        <f t="shared" si="189"/>
        <v>90.917938902799989</v>
      </c>
      <c r="CI84" s="1">
        <v>3881</v>
      </c>
      <c r="CJ84" s="1">
        <f t="shared" si="190"/>
        <v>4734.82</v>
      </c>
      <c r="CK84">
        <f t="shared" si="191"/>
        <v>1.6879928698752227</v>
      </c>
      <c r="CL84">
        <f t="shared" si="192"/>
        <v>5.1008740224748633E-2</v>
      </c>
      <c r="CM84">
        <f t="shared" si="193"/>
        <v>2.3123889217339607E-3</v>
      </c>
      <c r="CN84" s="1">
        <v>25377</v>
      </c>
      <c r="CO84" s="1">
        <f t="shared" si="244"/>
        <v>5.7013001309791533E-2</v>
      </c>
      <c r="CP84" s="1">
        <v>111143277</v>
      </c>
      <c r="CQ84" s="1">
        <f t="shared" si="156"/>
        <v>249.69901080409517</v>
      </c>
      <c r="CR84" s="1">
        <v>108123.0123</v>
      </c>
      <c r="CS84" s="1">
        <v>24439300</v>
      </c>
      <c r="CT84">
        <f t="shared" si="194"/>
        <v>963.04921779564177</v>
      </c>
      <c r="CU84">
        <f t="shared" si="195"/>
        <v>0.2198900433716742</v>
      </c>
      <c r="CV84">
        <f t="shared" si="196"/>
        <v>2.3093974676850096E-3</v>
      </c>
      <c r="CW84" s="1">
        <v>19022</v>
      </c>
      <c r="CX84" s="1">
        <f t="shared" si="245"/>
        <v>4.3083181206655219E-2</v>
      </c>
      <c r="CY84" s="1">
        <f t="shared" si="246"/>
        <v>-0.24432707949272578</v>
      </c>
      <c r="CZ84" s="1">
        <v>81897435</v>
      </c>
      <c r="DA84" s="1">
        <f t="shared" si="261"/>
        <v>99914870.700000003</v>
      </c>
      <c r="DB84" s="1">
        <f t="shared" si="157"/>
        <v>226.29852169107488</v>
      </c>
      <c r="DC84" s="1">
        <f t="shared" si="247"/>
        <v>-9.371478500321119E-2</v>
      </c>
      <c r="DD84" s="1">
        <f t="shared" si="197"/>
        <v>93954.54819500001</v>
      </c>
      <c r="DE84" s="1">
        <v>16363816</v>
      </c>
      <c r="DF84" s="1">
        <f t="shared" si="262"/>
        <v>19963855.52</v>
      </c>
      <c r="DG84">
        <f t="shared" si="263"/>
        <v>1049.51401114499</v>
      </c>
      <c r="DH84">
        <f t="shared" si="264"/>
        <v>0.19980865090585559</v>
      </c>
      <c r="DI84">
        <f t="shared" si="201"/>
        <v>2.4085957097191154E-3</v>
      </c>
      <c r="DJ84" s="1">
        <v>2850432</v>
      </c>
      <c r="DK84">
        <f t="shared" si="158"/>
        <v>6.403896573648252</v>
      </c>
      <c r="DL84">
        <v>1889.3069949999999</v>
      </c>
      <c r="DM84" s="1">
        <v>608504</v>
      </c>
      <c r="DN84" s="3">
        <f t="shared" si="202"/>
        <v>3.3895479086225753E-3</v>
      </c>
      <c r="DO84" s="1">
        <v>2020661</v>
      </c>
      <c r="DP84" s="1">
        <f t="shared" si="203"/>
        <v>2465206.42</v>
      </c>
      <c r="DQ84" s="3">
        <f t="shared" si="159"/>
        <v>5.5834788615639681</v>
      </c>
      <c r="DR84" s="3">
        <f t="shared" si="204"/>
        <v>1905.8896083399998</v>
      </c>
      <c r="DS84" s="3">
        <f t="shared" si="205"/>
        <v>497128.67196488084</v>
      </c>
      <c r="DT84" s="3">
        <f t="shared" si="206"/>
        <v>2.9295919538734941E-3</v>
      </c>
      <c r="DU84" s="3">
        <f t="shared" si="207"/>
        <v>0.81696861806147669</v>
      </c>
      <c r="DV84" s="3">
        <f t="shared" si="208"/>
        <v>336.38141966128757</v>
      </c>
      <c r="DW84" s="3">
        <f t="shared" si="209"/>
        <v>0.12133638051966807</v>
      </c>
      <c r="DX84" s="3">
        <f t="shared" si="210"/>
        <v>114220243.873</v>
      </c>
      <c r="DY84" s="3">
        <f t="shared" si="248"/>
        <v>256.61184984576812</v>
      </c>
      <c r="DZ84" s="3">
        <f t="shared" si="211"/>
        <v>113993709</v>
      </c>
      <c r="EA84" s="3">
        <f t="shared" si="212"/>
        <v>163057.01</v>
      </c>
      <c r="EB84" s="3">
        <f t="shared" si="249"/>
        <v>0.36721929988331914</v>
      </c>
      <c r="EC84" s="3">
        <f t="shared" si="213"/>
        <v>196556.79999999999</v>
      </c>
      <c r="ED84" s="3">
        <f t="shared" si="250"/>
        <v>0.44338103847502952</v>
      </c>
      <c r="EE84" s="9">
        <f t="shared" si="214"/>
        <v>102608224.44</v>
      </c>
      <c r="EF84" s="13">
        <f t="shared" si="251"/>
        <v>232.39873445703233</v>
      </c>
      <c r="EG84" s="14">
        <f t="shared" si="252"/>
        <v>-9.4356965211421992E-2</v>
      </c>
      <c r="EH84" s="9">
        <f t="shared" si="215"/>
        <v>102380077.12</v>
      </c>
      <c r="EI84" s="10">
        <v>132454</v>
      </c>
      <c r="EJ84" s="10">
        <f t="shared" si="160"/>
        <v>173514.74000000002</v>
      </c>
      <c r="EK84" s="10">
        <f t="shared" si="253"/>
        <v>0.39077106431815567</v>
      </c>
      <c r="EL84" s="10">
        <v>2020000</v>
      </c>
      <c r="EM84" s="10">
        <f t="shared" si="161"/>
        <v>2585600</v>
      </c>
      <c r="EN84" s="10">
        <f t="shared" si="254"/>
        <v>5.8324413761367522</v>
      </c>
      <c r="EO84" s="11">
        <v>6025808</v>
      </c>
      <c r="EP84" s="11">
        <f t="shared" si="162"/>
        <v>7351485.7599999998</v>
      </c>
      <c r="EQ84" s="11">
        <f t="shared" si="255"/>
        <v>16.65047803260569</v>
      </c>
      <c r="ER84" s="10">
        <f t="shared" si="256"/>
        <v>22.873690473060599</v>
      </c>
      <c r="ES84" s="10">
        <f t="shared" si="216"/>
        <v>2.8432417079207921</v>
      </c>
      <c r="ET84" s="12">
        <v>81308</v>
      </c>
      <c r="EU84" s="12">
        <f t="shared" si="163"/>
        <v>106513.48000000001</v>
      </c>
      <c r="EV84" s="12">
        <f t="shared" si="257"/>
        <v>0.23987809879339697</v>
      </c>
      <c r="EW84" s="10">
        <v>5000</v>
      </c>
      <c r="EX84" s="10">
        <f t="shared" si="164"/>
        <v>6400</v>
      </c>
      <c r="EY84" s="10">
        <f t="shared" si="258"/>
        <v>1.4436736079546415E-2</v>
      </c>
      <c r="EZ84" s="3">
        <f t="shared" si="217"/>
        <v>14216.20853960396</v>
      </c>
      <c r="FA84" s="3">
        <f t="shared" si="259"/>
        <v>3.2198480106369297E-2</v>
      </c>
      <c r="FB84" s="3">
        <f t="shared" si="260"/>
        <v>0.28651331497931265</v>
      </c>
      <c r="FC84" s="1">
        <f t="shared" si="218"/>
        <v>0.27029999999999998</v>
      </c>
      <c r="FD84">
        <f>2.78/10</f>
        <v>0.27799999999999997</v>
      </c>
      <c r="FE84">
        <f>3.3</f>
        <v>3.3</v>
      </c>
      <c r="FF84" s="7">
        <f t="shared" si="219"/>
        <v>10.855</v>
      </c>
      <c r="FG84" s="1">
        <f t="shared" si="220"/>
        <v>1.5109999999999999</v>
      </c>
      <c r="FH84">
        <v>2.63E-2</v>
      </c>
      <c r="FI84">
        <v>3.4000000000000002E-2</v>
      </c>
      <c r="FJ84">
        <v>4.41E-2</v>
      </c>
      <c r="FK84">
        <v>4.0899999999999999E-2</v>
      </c>
      <c r="FL84" s="1">
        <f t="shared" si="221"/>
        <v>2.5666666666666672E-3</v>
      </c>
    </row>
    <row r="85" spans="1:168">
      <c r="A85" s="1" t="s">
        <v>113</v>
      </c>
      <c r="B85" s="1" t="s">
        <v>32</v>
      </c>
      <c r="C85" s="1">
        <v>342197</v>
      </c>
      <c r="D85" s="6">
        <v>343486</v>
      </c>
      <c r="E85" s="6">
        <v>344345</v>
      </c>
      <c r="F85" s="1">
        <v>346492</v>
      </c>
      <c r="G85" s="1">
        <f t="shared" ref="G85:G107" si="265">(F85-C85)/10</f>
        <v>429.5</v>
      </c>
      <c r="H85" s="1">
        <v>1.31</v>
      </c>
      <c r="I85" s="1">
        <v>1.28</v>
      </c>
      <c r="J85" s="1">
        <v>1.22</v>
      </c>
      <c r="K85" s="1">
        <v>134377</v>
      </c>
      <c r="L85">
        <f t="shared" si="225"/>
        <v>0.39268900662483891</v>
      </c>
      <c r="M85" s="1">
        <v>128427</v>
      </c>
      <c r="N85">
        <f t="shared" si="226"/>
        <v>0.3706492501991388</v>
      </c>
      <c r="O85">
        <f t="shared" si="227"/>
        <v>-5.6125218821712793E-2</v>
      </c>
      <c r="P85">
        <f t="shared" si="228"/>
        <v>0.1918070338772554</v>
      </c>
      <c r="Q85">
        <f t="shared" si="229"/>
        <v>0.20395569195504326</v>
      </c>
      <c r="R85">
        <f t="shared" si="230"/>
        <v>1037.6655166268849</v>
      </c>
      <c r="S85">
        <f t="shared" si="231"/>
        <v>988.6080255726929</v>
      </c>
      <c r="T85">
        <f t="shared" si="232"/>
        <v>1158.4944489314635</v>
      </c>
      <c r="U85">
        <v>92297.113769999996</v>
      </c>
      <c r="V85">
        <f t="shared" si="233"/>
        <v>1.2551794976150353E-2</v>
      </c>
      <c r="W85">
        <f t="shared" si="234"/>
        <v>988.65537507359488</v>
      </c>
      <c r="X85">
        <v>79429.064259999999</v>
      </c>
      <c r="Y85">
        <f t="shared" si="235"/>
        <v>1.244702281569589E-2</v>
      </c>
      <c r="Z85" s="1">
        <v>11953</v>
      </c>
      <c r="AA85" s="1">
        <f t="shared" si="236"/>
        <v>3.4930171801623042E-2</v>
      </c>
      <c r="AB85" s="1">
        <v>144863</v>
      </c>
      <c r="AC85" s="1">
        <f t="shared" ref="AC85:AC107" si="266">AB85/C85</f>
        <v>0.42333217415699143</v>
      </c>
      <c r="AD85" s="1">
        <v>61.278341249999997</v>
      </c>
      <c r="AE85" s="1">
        <v>16178</v>
      </c>
      <c r="AF85">
        <f t="shared" si="165"/>
        <v>1.3534677486823392</v>
      </c>
      <c r="AG85">
        <f t="shared" si="166"/>
        <v>0.11167793018231019</v>
      </c>
      <c r="AH85">
        <f t="shared" si="222"/>
        <v>6.9083491086990127E-3</v>
      </c>
      <c r="AI85">
        <v>66591</v>
      </c>
      <c r="AJ85">
        <f t="shared" si="167"/>
        <v>87234.21</v>
      </c>
      <c r="AK85">
        <f t="shared" ref="AK85:AK107" si="267">AJ85/D85</f>
        <v>0.25396729415463803</v>
      </c>
      <c r="AL85">
        <f t="shared" si="168"/>
        <v>40.567501634999999</v>
      </c>
      <c r="AM85">
        <f t="shared" si="169"/>
        <v>6.2603631951425208E-3</v>
      </c>
      <c r="AN85">
        <v>90.57</v>
      </c>
      <c r="AO85">
        <f t="shared" si="170"/>
        <v>90570</v>
      </c>
      <c r="AP85">
        <f t="shared" si="171"/>
        <v>115929.60000000001</v>
      </c>
      <c r="AQ85">
        <f t="shared" ref="AQ85:AQ107" si="268">AP85/E85</f>
        <v>0.33666700547416112</v>
      </c>
      <c r="AR85">
        <f t="shared" si="172"/>
        <v>51.759606732800002</v>
      </c>
      <c r="AS85">
        <f t="shared" si="173"/>
        <v>6.504435151761221E-3</v>
      </c>
      <c r="AT85" s="1">
        <v>13674</v>
      </c>
      <c r="AU85" s="1">
        <f t="shared" si="237"/>
        <v>3.9464114611592764E-2</v>
      </c>
      <c r="AV85" s="1">
        <f t="shared" si="238"/>
        <v>0.1298001863752371</v>
      </c>
      <c r="AW85" s="1">
        <v>119723</v>
      </c>
      <c r="AX85" s="1">
        <f t="shared" si="174"/>
        <v>146062.06</v>
      </c>
      <c r="AY85" s="1">
        <f t="shared" ref="AY85:AY107" si="269">AX85/F85</f>
        <v>0.42154525934220705</v>
      </c>
      <c r="AZ85" s="1">
        <f t="shared" si="239"/>
        <v>-4.2210701757851923E-3</v>
      </c>
      <c r="BA85" s="1">
        <f t="shared" si="175"/>
        <v>60.4858519474</v>
      </c>
      <c r="BB85" s="1">
        <v>12765</v>
      </c>
      <c r="BC85" s="1">
        <f t="shared" si="176"/>
        <v>15573.3</v>
      </c>
      <c r="BD85" s="1">
        <f t="shared" si="177"/>
        <v>1.1388986397542782</v>
      </c>
      <c r="BE85" s="1">
        <f t="shared" si="178"/>
        <v>0.10662111707858975</v>
      </c>
      <c r="BF85" s="1">
        <f t="shared" si="179"/>
        <v>6.9693200272485751E-3</v>
      </c>
      <c r="BG85" s="1">
        <v>3300</v>
      </c>
      <c r="BH85" s="1">
        <f t="shared" si="240"/>
        <v>9.6435678863344802E-3</v>
      </c>
      <c r="BI85" s="1">
        <v>103179.94100000001</v>
      </c>
      <c r="BJ85" s="1">
        <f t="shared" ref="BJ85:BJ107" si="270">BI85/C85</f>
        <v>0.30152205016408679</v>
      </c>
      <c r="BK85" s="1">
        <v>101.2013381</v>
      </c>
      <c r="BL85" s="1">
        <v>6860.5339999999997</v>
      </c>
      <c r="BM85">
        <f t="shared" ref="BM85:BM107" si="271">BL85/BG85</f>
        <v>2.0789496969696968</v>
      </c>
      <c r="BN85">
        <f t="shared" ref="BN85:BN107" si="272">BL85/BI85</f>
        <v>6.6490966495125245E-2</v>
      </c>
      <c r="BO85">
        <f t="shared" si="180"/>
        <v>2.9794275038749394E-3</v>
      </c>
      <c r="BP85">
        <v>41214</v>
      </c>
      <c r="BQ85">
        <f t="shared" si="181"/>
        <v>53990.340000000004</v>
      </c>
      <c r="BR85">
        <f t="shared" ref="BR85:BR107" si="273">BQ85/D85</f>
        <v>0.15718352421932771</v>
      </c>
      <c r="BS85">
        <f t="shared" si="182"/>
        <v>59.525235619600004</v>
      </c>
      <c r="BT85">
        <f t="shared" si="183"/>
        <v>2.6406199418313862E-3</v>
      </c>
      <c r="BU85">
        <v>57.24</v>
      </c>
      <c r="BV85">
        <f t="shared" si="184"/>
        <v>57240</v>
      </c>
      <c r="BW85">
        <f t="shared" si="185"/>
        <v>73267.199999999997</v>
      </c>
      <c r="BX85">
        <f t="shared" ref="BX85:BX107" si="274">BW85/E85</f>
        <v>0.21277265533113593</v>
      </c>
      <c r="BY85">
        <f t="shared" si="186"/>
        <v>76.247206297600002</v>
      </c>
      <c r="BZ85">
        <f t="shared" si="187"/>
        <v>2.7905632961903455E-3</v>
      </c>
      <c r="CA85" s="1">
        <v>3404</v>
      </c>
      <c r="CB85" s="1">
        <f t="shared" si="241"/>
        <v>9.8241806448633728E-3</v>
      </c>
      <c r="CC85" s="1">
        <f t="shared" si="242"/>
        <v>1.8728831554639835E-2</v>
      </c>
      <c r="CD85" s="1">
        <v>76182</v>
      </c>
      <c r="CE85" s="1">
        <f t="shared" si="188"/>
        <v>92942.04</v>
      </c>
      <c r="CF85">
        <f t="shared" ref="CF85:CF107" si="275">CE85/F85</f>
        <v>0.26823718873740227</v>
      </c>
      <c r="CG85">
        <f t="shared" si="243"/>
        <v>-0.11038947701692485</v>
      </c>
      <c r="CH85">
        <f t="shared" si="189"/>
        <v>90.917938902799989</v>
      </c>
      <c r="CI85" s="1">
        <v>5539</v>
      </c>
      <c r="CJ85" s="1">
        <f t="shared" si="190"/>
        <v>6757.58</v>
      </c>
      <c r="CK85">
        <f t="shared" si="191"/>
        <v>1.9851880141010576</v>
      </c>
      <c r="CL85">
        <f t="shared" si="192"/>
        <v>7.2707463705337219E-2</v>
      </c>
      <c r="CM85">
        <f t="shared" si="193"/>
        <v>2.9503219273830394E-3</v>
      </c>
      <c r="CN85" s="1">
        <v>58483</v>
      </c>
      <c r="CO85" s="1">
        <f t="shared" si="244"/>
        <v>0.17090447899893921</v>
      </c>
      <c r="CP85" s="1">
        <v>396185282</v>
      </c>
      <c r="CQ85" s="1">
        <f t="shared" ref="CQ85:CQ99" si="276">CP85/C85</f>
        <v>1157.7695947071425</v>
      </c>
      <c r="CR85" s="1">
        <v>108123.0123</v>
      </c>
      <c r="CS85" s="1">
        <v>76490266</v>
      </c>
      <c r="CT85">
        <f t="shared" si="194"/>
        <v>1307.9059897748064</v>
      </c>
      <c r="CU85">
        <f t="shared" si="195"/>
        <v>0.19306690448939998</v>
      </c>
      <c r="CV85">
        <f t="shared" si="196"/>
        <v>1.070789252055589E-2</v>
      </c>
      <c r="CW85" s="1">
        <v>55343</v>
      </c>
      <c r="CX85" s="1">
        <f t="shared" si="245"/>
        <v>0.15972374542557982</v>
      </c>
      <c r="CY85" s="1">
        <f t="shared" si="246"/>
        <v>-6.5420951158505242E-2</v>
      </c>
      <c r="CZ85" s="1">
        <v>280591946</v>
      </c>
      <c r="DA85" s="1">
        <f t="shared" si="261"/>
        <v>342322174.12</v>
      </c>
      <c r="DB85" s="1">
        <f t="shared" ref="DB85:DB107" si="277">DA85/F85</f>
        <v>987.96559262551523</v>
      </c>
      <c r="DC85" s="1">
        <f t="shared" si="247"/>
        <v>-0.14666476201992429</v>
      </c>
      <c r="DD85" s="1">
        <f t="shared" si="197"/>
        <v>93954.54819500001</v>
      </c>
      <c r="DE85" s="1">
        <v>58666927</v>
      </c>
      <c r="DF85" s="1">
        <f t="shared" si="262"/>
        <v>71573650.939999998</v>
      </c>
      <c r="DG85">
        <f t="shared" si="263"/>
        <v>1293.2737824115063</v>
      </c>
      <c r="DH85">
        <f t="shared" si="264"/>
        <v>0.20908271900291819</v>
      </c>
      <c r="DI85">
        <f t="shared" si="201"/>
        <v>1.051535675074527E-2</v>
      </c>
      <c r="DJ85" s="1">
        <v>8858410</v>
      </c>
      <c r="DK85">
        <f t="shared" ref="DK85:DK107" si="278">DJ85/C85</f>
        <v>25.886872181813398</v>
      </c>
      <c r="DL85">
        <v>1889.3069949999999</v>
      </c>
      <c r="DM85" s="1">
        <v>1224501</v>
      </c>
      <c r="DN85" s="3">
        <f t="shared" si="202"/>
        <v>1.3701781791060059E-2</v>
      </c>
      <c r="DO85" s="1">
        <v>6947345</v>
      </c>
      <c r="DP85" s="1">
        <f t="shared" si="203"/>
        <v>8475760.9000000004</v>
      </c>
      <c r="DQ85" s="3">
        <f t="shared" ref="DQ85:DQ107" si="279">DP85/F85</f>
        <v>24.461635189268438</v>
      </c>
      <c r="DR85" s="3">
        <f t="shared" si="204"/>
        <v>1905.8896083399998</v>
      </c>
      <c r="DS85" s="3">
        <f t="shared" si="205"/>
        <v>1145805.3193299794</v>
      </c>
      <c r="DT85" s="3">
        <f t="shared" si="206"/>
        <v>1.2834759727020152E-2</v>
      </c>
      <c r="DU85" s="3">
        <f t="shared" si="207"/>
        <v>0.93573244883424289</v>
      </c>
      <c r="DV85" s="3">
        <f t="shared" si="208"/>
        <v>434.6227127143033</v>
      </c>
      <c r="DW85" s="3">
        <f t="shared" si="209"/>
        <v>0.12660785015894677</v>
      </c>
      <c r="DX85" s="3">
        <f t="shared" si="210"/>
        <v>405291734.94099998</v>
      </c>
      <c r="DY85" s="3">
        <f t="shared" si="248"/>
        <v>1184.3813211132767</v>
      </c>
      <c r="DZ85" s="3">
        <f t="shared" si="211"/>
        <v>405043692</v>
      </c>
      <c r="EA85" s="3">
        <f t="shared" si="212"/>
        <v>141224.55000000002</v>
      </c>
      <c r="EB85" s="3">
        <f t="shared" si="249"/>
        <v>0.41115081837396578</v>
      </c>
      <c r="EC85" s="3">
        <f t="shared" si="213"/>
        <v>189196.79999999999</v>
      </c>
      <c r="ED85" s="3">
        <f t="shared" si="250"/>
        <v>0.54943966080529694</v>
      </c>
      <c r="EE85" s="9">
        <f t="shared" si="214"/>
        <v>351036939.12</v>
      </c>
      <c r="EF85" s="13">
        <f t="shared" si="251"/>
        <v>1013.1170102628632</v>
      </c>
      <c r="EG85" s="14">
        <f t="shared" si="252"/>
        <v>-0.14460234030829791</v>
      </c>
      <c r="EH85" s="9">
        <f t="shared" si="215"/>
        <v>350797935.01999998</v>
      </c>
      <c r="EI85" s="10">
        <v>156371</v>
      </c>
      <c r="EJ85" s="10">
        <f t="shared" ref="EJ85:EJ107" si="280">EI85*H85</f>
        <v>204846.01</v>
      </c>
      <c r="EK85" s="10">
        <f t="shared" si="253"/>
        <v>0.59637368044112427</v>
      </c>
      <c r="EL85" s="10">
        <v>1612128</v>
      </c>
      <c r="EM85" s="10">
        <f t="shared" ref="EM85:EM107" si="281">EL85*I85</f>
        <v>2063523.8400000001</v>
      </c>
      <c r="EN85" s="10">
        <f t="shared" si="254"/>
        <v>5.9926057878000263</v>
      </c>
      <c r="EO85" s="11">
        <v>3136172</v>
      </c>
      <c r="EP85" s="11">
        <f t="shared" ref="EP85:EP107" si="282">EO85*J85</f>
        <v>3826129.84</v>
      </c>
      <c r="EQ85" s="11">
        <f t="shared" si="255"/>
        <v>11.042476709418976</v>
      </c>
      <c r="ER85" s="10">
        <f t="shared" si="256"/>
        <v>17.631456177660127</v>
      </c>
      <c r="ES85" s="10">
        <f t="shared" si="216"/>
        <v>1.8541728308794339</v>
      </c>
      <c r="ET85" s="10">
        <v>207187</v>
      </c>
      <c r="EU85" s="12">
        <f t="shared" ref="EU85:EU107" si="283">ET85*H85</f>
        <v>271414.97000000003</v>
      </c>
      <c r="EV85" s="12">
        <f t="shared" si="257"/>
        <v>0.79017767827509722</v>
      </c>
      <c r="EW85" s="1">
        <v>22000</v>
      </c>
      <c r="EX85" s="10">
        <f t="shared" ref="EX85:EX107" si="284">EW85*I85</f>
        <v>28160</v>
      </c>
      <c r="EY85" s="10">
        <f t="shared" si="258"/>
        <v>8.1778448939290538E-2</v>
      </c>
      <c r="EZ85" s="3">
        <f t="shared" si="217"/>
        <v>40791.802279347547</v>
      </c>
      <c r="FA85" s="3">
        <f t="shared" si="259"/>
        <v>0.11772797720971205</v>
      </c>
      <c r="FB85" s="3">
        <f t="shared" si="260"/>
        <v>0.98968410442409982</v>
      </c>
      <c r="FC85" s="1">
        <f t="shared" si="218"/>
        <v>0.28833330000000001</v>
      </c>
      <c r="FD85">
        <v>0.2960333</v>
      </c>
      <c r="FE85">
        <v>3.5893980999999999</v>
      </c>
      <c r="FF85" s="7">
        <f t="shared" si="219"/>
        <v>11.8228101</v>
      </c>
      <c r="FG85" s="1">
        <f t="shared" si="220"/>
        <v>1.6466824</v>
      </c>
      <c r="FH85">
        <v>2.63E-2</v>
      </c>
      <c r="FI85">
        <v>3.4000000000000002E-2</v>
      </c>
      <c r="FJ85">
        <v>4.41E-2</v>
      </c>
      <c r="FK85">
        <v>4.0899999999999999E-2</v>
      </c>
      <c r="FL85" s="1">
        <f t="shared" si="221"/>
        <v>2.5666666666666672E-3</v>
      </c>
    </row>
    <row r="86" spans="1:168">
      <c r="A86" t="s">
        <v>113</v>
      </c>
      <c r="B86" s="1" t="s">
        <v>33</v>
      </c>
      <c r="C86" s="1">
        <v>1950961</v>
      </c>
      <c r="D86" s="6">
        <f t="shared" ref="D86:D97" si="285">C86+G86*3</f>
        <v>1945072.9</v>
      </c>
      <c r="E86" s="6">
        <f t="shared" ref="E86:E97" si="286">C86+G86*5</f>
        <v>1941147.5</v>
      </c>
      <c r="F86" s="1">
        <v>1931334</v>
      </c>
      <c r="G86" s="1">
        <f t="shared" si="265"/>
        <v>-1962.7</v>
      </c>
      <c r="H86" s="1">
        <v>1.31</v>
      </c>
      <c r="I86" s="1">
        <v>1.28</v>
      </c>
      <c r="J86" s="1">
        <v>1.22</v>
      </c>
      <c r="K86">
        <v>889832</v>
      </c>
      <c r="L86">
        <f t="shared" si="225"/>
        <v>0.45609932745964682</v>
      </c>
      <c r="M86" s="1">
        <v>703698</v>
      </c>
      <c r="N86">
        <f t="shared" si="226"/>
        <v>0.36435852110510147</v>
      </c>
      <c r="O86">
        <f t="shared" si="227"/>
        <v>-0.20114216538208352</v>
      </c>
      <c r="P86">
        <f t="shared" si="228"/>
        <v>0.169237122921643</v>
      </c>
      <c r="Q86">
        <f t="shared" si="229"/>
        <v>0.16310241097072073</v>
      </c>
      <c r="R86">
        <f t="shared" si="230"/>
        <v>844.54033138434568</v>
      </c>
      <c r="S86">
        <f t="shared" si="231"/>
        <v>858.91831762534002</v>
      </c>
      <c r="T86">
        <f t="shared" si="232"/>
        <v>1028.7625959934617</v>
      </c>
      <c r="U86">
        <v>92297.113769999996</v>
      </c>
      <c r="V86">
        <f t="shared" si="233"/>
        <v>1.1146205487607001E-2</v>
      </c>
      <c r="W86">
        <f t="shared" si="234"/>
        <v>897.40403872142258</v>
      </c>
      <c r="X86">
        <v>79429.064259999999</v>
      </c>
      <c r="Y86">
        <f t="shared" si="235"/>
        <v>1.1298182184091898E-2</v>
      </c>
      <c r="Z86" s="1">
        <v>102032</v>
      </c>
      <c r="AA86" s="1">
        <f t="shared" si="236"/>
        <v>5.2298328874846804E-2</v>
      </c>
      <c r="AB86" s="1">
        <v>1083914</v>
      </c>
      <c r="AC86" s="1">
        <f t="shared" si="266"/>
        <v>0.55557953234329138</v>
      </c>
      <c r="AD86" s="1">
        <v>61.278341249999997</v>
      </c>
      <c r="AE86" s="1">
        <v>131949</v>
      </c>
      <c r="AF86">
        <f t="shared" si="165"/>
        <v>1.2932119335110555</v>
      </c>
      <c r="AG86">
        <f t="shared" si="166"/>
        <v>0.12173382759148789</v>
      </c>
      <c r="AH86">
        <f t="shared" si="222"/>
        <v>9.0664910474105142E-3</v>
      </c>
      <c r="AI86">
        <v>514456</v>
      </c>
      <c r="AJ86">
        <f t="shared" si="167"/>
        <v>673937.36</v>
      </c>
      <c r="AK86">
        <f t="shared" si="267"/>
        <v>0.34648437084286149</v>
      </c>
      <c r="AL86">
        <f t="shared" si="168"/>
        <v>40.567501634999999</v>
      </c>
      <c r="AM86">
        <f t="shared" si="169"/>
        <v>8.5409344149487577E-3</v>
      </c>
      <c r="AN86">
        <v>656.74</v>
      </c>
      <c r="AO86">
        <f t="shared" si="170"/>
        <v>656740</v>
      </c>
      <c r="AP86">
        <f t="shared" si="171"/>
        <v>840627.20000000007</v>
      </c>
      <c r="AQ86">
        <f t="shared" si="268"/>
        <v>0.43305683880282159</v>
      </c>
      <c r="AR86">
        <f t="shared" si="172"/>
        <v>51.759606732800002</v>
      </c>
      <c r="AS86">
        <f t="shared" si="173"/>
        <v>8.3666949217447197E-3</v>
      </c>
      <c r="AT86" s="1">
        <v>90731</v>
      </c>
      <c r="AU86" s="1">
        <f t="shared" si="237"/>
        <v>4.6978409741660426E-2</v>
      </c>
      <c r="AV86" s="1">
        <f t="shared" si="238"/>
        <v>-0.10172254539752655</v>
      </c>
      <c r="AW86" s="1">
        <v>766622</v>
      </c>
      <c r="AX86" s="1">
        <f t="shared" si="174"/>
        <v>935278.84</v>
      </c>
      <c r="AY86" s="1">
        <f t="shared" si="269"/>
        <v>0.48426571478573877</v>
      </c>
      <c r="AZ86" s="1">
        <f t="shared" si="239"/>
        <v>-0.12835933184357837</v>
      </c>
      <c r="BA86" s="1">
        <f t="shared" si="175"/>
        <v>60.4858519474</v>
      </c>
      <c r="BB86" s="1">
        <v>99316</v>
      </c>
      <c r="BC86" s="1">
        <f t="shared" si="176"/>
        <v>121165.52</v>
      </c>
      <c r="BD86" s="1">
        <f t="shared" si="177"/>
        <v>1.3354368407710706</v>
      </c>
      <c r="BE86" s="1">
        <f t="shared" si="178"/>
        <v>0.12955015640041639</v>
      </c>
      <c r="BF86" s="1">
        <f t="shared" si="179"/>
        <v>8.0062642617131068E-3</v>
      </c>
      <c r="BG86" s="1">
        <v>52636</v>
      </c>
      <c r="BH86" s="1">
        <f t="shared" si="240"/>
        <v>2.6979524449745537E-2</v>
      </c>
      <c r="BI86" s="1">
        <v>2280884.0419999999</v>
      </c>
      <c r="BJ86" s="1">
        <f t="shared" si="270"/>
        <v>1.1691079637163428</v>
      </c>
      <c r="BK86" s="1">
        <v>101.2013381</v>
      </c>
      <c r="BL86" s="1">
        <v>104683.11599999999</v>
      </c>
      <c r="BM86">
        <f t="shared" si="271"/>
        <v>1.9888121437799224</v>
      </c>
      <c r="BN86">
        <f t="shared" si="272"/>
        <v>4.5895851815512853E-2</v>
      </c>
      <c r="BO86">
        <f t="shared" si="180"/>
        <v>1.1552297486038308E-2</v>
      </c>
      <c r="BP86">
        <v>1047178</v>
      </c>
      <c r="BQ86">
        <f t="shared" si="181"/>
        <v>1371803.1800000002</v>
      </c>
      <c r="BR86">
        <f t="shared" si="273"/>
        <v>0.7052708307231057</v>
      </c>
      <c r="BS86">
        <f t="shared" si="182"/>
        <v>59.525235619600004</v>
      </c>
      <c r="BT86">
        <f t="shared" si="183"/>
        <v>1.1848266090539919E-2</v>
      </c>
      <c r="BU86">
        <v>1325.15</v>
      </c>
      <c r="BV86">
        <f t="shared" si="184"/>
        <v>1325150</v>
      </c>
      <c r="BW86">
        <f t="shared" si="185"/>
        <v>1696192</v>
      </c>
      <c r="BX86">
        <f t="shared" si="274"/>
        <v>0.87380891972402919</v>
      </c>
      <c r="BY86">
        <f t="shared" si="186"/>
        <v>76.247206297600002</v>
      </c>
      <c r="BZ86">
        <f t="shared" si="187"/>
        <v>1.1460208998523447E-2</v>
      </c>
      <c r="CA86" s="1">
        <v>42257</v>
      </c>
      <c r="CB86" s="1">
        <f t="shared" si="241"/>
        <v>2.1879695588644946E-2</v>
      </c>
      <c r="CC86" s="1">
        <f t="shared" si="242"/>
        <v>-0.18902589890344382</v>
      </c>
      <c r="CD86" s="1">
        <v>1622100</v>
      </c>
      <c r="CE86" s="1">
        <f t="shared" si="188"/>
        <v>1978962</v>
      </c>
      <c r="CF86">
        <f t="shared" si="275"/>
        <v>1.024660674953167</v>
      </c>
      <c r="CG86">
        <f t="shared" si="243"/>
        <v>-0.12355342128028017</v>
      </c>
      <c r="CH86">
        <f t="shared" si="189"/>
        <v>90.917938902799989</v>
      </c>
      <c r="CI86" s="1">
        <v>77824</v>
      </c>
      <c r="CJ86" s="1">
        <f t="shared" si="190"/>
        <v>94945.279999999999</v>
      </c>
      <c r="CK86">
        <f t="shared" si="191"/>
        <v>2.2468533024114348</v>
      </c>
      <c r="CL86">
        <f t="shared" si="192"/>
        <v>4.7977313359225691E-2</v>
      </c>
      <c r="CM86">
        <f t="shared" si="193"/>
        <v>1.1270170522108158E-2</v>
      </c>
      <c r="CN86" s="1">
        <v>246908</v>
      </c>
      <c r="CO86" s="1">
        <f t="shared" si="244"/>
        <v>0.12655711723606983</v>
      </c>
      <c r="CP86" s="1">
        <v>2003710905</v>
      </c>
      <c r="CQ86" s="1">
        <f t="shared" si="276"/>
        <v>1027.037908497402</v>
      </c>
      <c r="CR86" s="1">
        <v>108123.0123</v>
      </c>
      <c r="CS86" s="1">
        <v>338910496</v>
      </c>
      <c r="CT86">
        <f t="shared" si="194"/>
        <v>1372.6185299787776</v>
      </c>
      <c r="CU86">
        <f t="shared" si="195"/>
        <v>0.16914141414027989</v>
      </c>
      <c r="CV86">
        <f t="shared" si="196"/>
        <v>9.4987911144000011E-3</v>
      </c>
      <c r="CW86" s="1">
        <v>196356</v>
      </c>
      <c r="CX86" s="1">
        <f t="shared" si="245"/>
        <v>0.10166858761871328</v>
      </c>
      <c r="CY86" s="1">
        <f t="shared" si="246"/>
        <v>-0.19665847453629506</v>
      </c>
      <c r="CZ86" s="1">
        <v>1418256304</v>
      </c>
      <c r="DA86" s="1">
        <f t="shared" si="261"/>
        <v>1730272690.8799999</v>
      </c>
      <c r="DB86" s="1">
        <f t="shared" si="277"/>
        <v>895.89511233168366</v>
      </c>
      <c r="DC86" s="1">
        <f t="shared" si="247"/>
        <v>-0.12769031705712358</v>
      </c>
      <c r="DD86" s="1">
        <f t="shared" si="197"/>
        <v>93954.54819500001</v>
      </c>
      <c r="DE86" s="1">
        <v>231691380</v>
      </c>
      <c r="DF86" s="1">
        <f t="shared" si="262"/>
        <v>282663483.59999996</v>
      </c>
      <c r="DG86">
        <f t="shared" si="263"/>
        <v>1439.5459451200877</v>
      </c>
      <c r="DH86">
        <f t="shared" si="264"/>
        <v>0.16336354673449771</v>
      </c>
      <c r="DI86">
        <f t="shared" si="201"/>
        <v>9.535409722499848E-3</v>
      </c>
      <c r="DJ86" s="1">
        <v>656361</v>
      </c>
      <c r="DK86">
        <f t="shared" si="278"/>
        <v>0.33642958521467115</v>
      </c>
      <c r="DL86">
        <v>1889.3069949999999</v>
      </c>
      <c r="DM86" s="1">
        <v>635670</v>
      </c>
      <c r="DN86" s="3">
        <f t="shared" si="202"/>
        <v>1.7807036448021576E-4</v>
      </c>
      <c r="DO86" s="1">
        <v>968049</v>
      </c>
      <c r="DP86" s="1">
        <f t="shared" si="203"/>
        <v>1181019.78</v>
      </c>
      <c r="DQ86" s="3">
        <f t="shared" si="279"/>
        <v>0.61150468018478421</v>
      </c>
      <c r="DR86" s="3">
        <f t="shared" si="204"/>
        <v>1905.8896083399998</v>
      </c>
      <c r="DS86" s="3">
        <f t="shared" si="205"/>
        <v>530206.67688137991</v>
      </c>
      <c r="DT86" s="3">
        <f t="shared" si="206"/>
        <v>3.2084999965837231E-4</v>
      </c>
      <c r="DU86" s="3">
        <f t="shared" si="207"/>
        <v>0.83409108009089616</v>
      </c>
      <c r="DV86" s="3">
        <f t="shared" si="208"/>
        <v>469.83813155322309</v>
      </c>
      <c r="DW86" s="3">
        <f t="shared" si="209"/>
        <v>0.1129436850069034</v>
      </c>
      <c r="DX86" s="3">
        <f t="shared" si="210"/>
        <v>2007732064.0420001</v>
      </c>
      <c r="DY86" s="3">
        <f t="shared" si="248"/>
        <v>1029.0990255786764</v>
      </c>
      <c r="DZ86" s="3">
        <f t="shared" si="211"/>
        <v>2004367266</v>
      </c>
      <c r="EA86" s="3">
        <f t="shared" si="212"/>
        <v>2045740.54</v>
      </c>
      <c r="EB86" s="3">
        <f t="shared" si="249"/>
        <v>1.051755201565967</v>
      </c>
      <c r="EC86" s="3">
        <f t="shared" si="213"/>
        <v>2536819.2000000002</v>
      </c>
      <c r="ED86" s="3">
        <f t="shared" si="250"/>
        <v>1.3068657585268508</v>
      </c>
      <c r="EE86" s="9">
        <f t="shared" si="214"/>
        <v>1734367951.4999998</v>
      </c>
      <c r="EF86" s="13">
        <f t="shared" si="251"/>
        <v>898.01554340160726</v>
      </c>
      <c r="EG86" s="14">
        <f t="shared" si="252"/>
        <v>-0.12737693741703734</v>
      </c>
      <c r="EH86" s="9">
        <f t="shared" si="215"/>
        <v>1731453710.6599998</v>
      </c>
      <c r="EI86" s="10">
        <v>186002</v>
      </c>
      <c r="EJ86" s="10">
        <f t="shared" si="280"/>
        <v>243662.62000000002</v>
      </c>
      <c r="EK86" s="10">
        <f t="shared" si="253"/>
        <v>0.12527171603696707</v>
      </c>
      <c r="EL86" s="10">
        <v>922000</v>
      </c>
      <c r="EM86" s="10">
        <f t="shared" si="281"/>
        <v>1180160</v>
      </c>
      <c r="EN86" s="10">
        <f t="shared" si="254"/>
        <v>0.60797028561714139</v>
      </c>
      <c r="EO86" s="11">
        <v>15548470</v>
      </c>
      <c r="EP86" s="11">
        <f t="shared" si="282"/>
        <v>18969133.399999999</v>
      </c>
      <c r="EQ86" s="11">
        <f t="shared" si="255"/>
        <v>9.8217777971081119</v>
      </c>
      <c r="ER86" s="10">
        <f t="shared" si="256"/>
        <v>10.555019798762221</v>
      </c>
      <c r="ES86" s="10">
        <f t="shared" si="216"/>
        <v>16.073357341377438</v>
      </c>
      <c r="ET86" s="12">
        <v>3844</v>
      </c>
      <c r="EU86" s="12">
        <f t="shared" si="283"/>
        <v>5035.6400000000003</v>
      </c>
      <c r="EV86" s="12">
        <f t="shared" si="257"/>
        <v>2.5889209602375316E-3</v>
      </c>
      <c r="EW86" s="10">
        <v>0</v>
      </c>
      <c r="EX86" s="10">
        <f t="shared" si="284"/>
        <v>0</v>
      </c>
      <c r="EY86" s="10">
        <f t="shared" si="258"/>
        <v>0</v>
      </c>
      <c r="EZ86" s="3">
        <v>0</v>
      </c>
      <c r="FA86" s="3">
        <f t="shared" si="259"/>
        <v>0</v>
      </c>
      <c r="FB86" s="3">
        <f t="shared" si="260"/>
        <v>2.5889209602375316E-3</v>
      </c>
      <c r="FC86" s="1">
        <f t="shared" si="218"/>
        <v>0.46929999999999999</v>
      </c>
      <c r="FD86">
        <f>4.77/10</f>
        <v>0.47699999999999998</v>
      </c>
      <c r="FE86">
        <f>5.7</f>
        <v>5.7</v>
      </c>
      <c r="FF86" s="7">
        <f t="shared" si="219"/>
        <v>18.7575</v>
      </c>
      <c r="FG86" s="1">
        <f t="shared" si="220"/>
        <v>2.6114999999999999</v>
      </c>
      <c r="FH86">
        <v>2.63E-2</v>
      </c>
      <c r="FI86">
        <v>3.4000000000000002E-2</v>
      </c>
      <c r="FJ86">
        <v>4.41E-2</v>
      </c>
      <c r="FK86">
        <v>4.0899999999999999E-2</v>
      </c>
      <c r="FL86" s="1">
        <f t="shared" si="221"/>
        <v>2.5666666666666672E-3</v>
      </c>
    </row>
    <row r="87" spans="1:168">
      <c r="A87" t="s">
        <v>109</v>
      </c>
      <c r="B87" s="1" t="s">
        <v>11</v>
      </c>
      <c r="C87" s="1">
        <v>540016</v>
      </c>
      <c r="D87" s="6">
        <f t="shared" si="285"/>
        <v>543100.6</v>
      </c>
      <c r="E87" s="6">
        <f t="shared" si="286"/>
        <v>545157</v>
      </c>
      <c r="F87" s="1">
        <v>550298</v>
      </c>
      <c r="G87" s="1">
        <f t="shared" si="265"/>
        <v>1028.2</v>
      </c>
      <c r="H87" s="1">
        <v>1.31</v>
      </c>
      <c r="I87" s="1">
        <v>1.28</v>
      </c>
      <c r="J87" s="1">
        <v>1.22</v>
      </c>
      <c r="K87">
        <v>236029</v>
      </c>
      <c r="L87">
        <f t="shared" si="225"/>
        <v>0.43707779028769517</v>
      </c>
      <c r="M87" s="1">
        <v>204801</v>
      </c>
      <c r="N87">
        <f t="shared" si="226"/>
        <v>0.37216380942689231</v>
      </c>
      <c r="O87">
        <f t="shared" si="227"/>
        <v>-0.14851814094254229</v>
      </c>
      <c r="P87">
        <f t="shared" si="228"/>
        <v>0.21820874579944793</v>
      </c>
      <c r="Q87">
        <f t="shared" si="229"/>
        <v>0.20389687836666193</v>
      </c>
      <c r="R87">
        <f t="shared" si="230"/>
        <v>905.31542258410695</v>
      </c>
      <c r="S87">
        <f t="shared" si="231"/>
        <v>903.10074282693813</v>
      </c>
      <c r="T87">
        <f t="shared" si="232"/>
        <v>1072.7069999370387</v>
      </c>
      <c r="U87">
        <v>92297.113769999996</v>
      </c>
      <c r="V87">
        <f t="shared" si="233"/>
        <v>1.1622324427285705E-2</v>
      </c>
      <c r="W87">
        <f t="shared" si="234"/>
        <v>971.9648514077827</v>
      </c>
      <c r="X87">
        <v>79429.064259999999</v>
      </c>
      <c r="Y87">
        <f t="shared" si="235"/>
        <v>1.2236891627303967E-2</v>
      </c>
      <c r="Z87" s="1">
        <v>23087</v>
      </c>
      <c r="AA87" s="1">
        <f t="shared" si="236"/>
        <v>4.2752436964830672E-2</v>
      </c>
      <c r="AB87" s="1">
        <v>264799</v>
      </c>
      <c r="AC87" s="1">
        <f t="shared" si="266"/>
        <v>0.49035398951142189</v>
      </c>
      <c r="AD87" s="1">
        <v>61.278341249999997</v>
      </c>
      <c r="AE87" s="1">
        <v>31152</v>
      </c>
      <c r="AF87">
        <f t="shared" si="165"/>
        <v>1.3493307922207303</v>
      </c>
      <c r="AG87">
        <f t="shared" si="166"/>
        <v>0.11764394880645319</v>
      </c>
      <c r="AH87">
        <f t="shared" si="222"/>
        <v>8.0020767453691799E-3</v>
      </c>
      <c r="AI87">
        <v>136392</v>
      </c>
      <c r="AJ87">
        <f t="shared" si="167"/>
        <v>178673.52000000002</v>
      </c>
      <c r="AK87">
        <f t="shared" si="267"/>
        <v>0.32898788916823152</v>
      </c>
      <c r="AL87">
        <f t="shared" si="168"/>
        <v>40.567501634999999</v>
      </c>
      <c r="AM87">
        <f t="shared" si="169"/>
        <v>8.1096413609161987E-3</v>
      </c>
      <c r="AN87">
        <v>180.33</v>
      </c>
      <c r="AO87">
        <f t="shared" si="170"/>
        <v>180330</v>
      </c>
      <c r="AP87">
        <f t="shared" si="171"/>
        <v>230822.39999999999</v>
      </c>
      <c r="AQ87">
        <f t="shared" si="268"/>
        <v>0.4234053676280411</v>
      </c>
      <c r="AR87">
        <f t="shared" si="172"/>
        <v>51.759606732800002</v>
      </c>
      <c r="AS87">
        <f t="shared" si="173"/>
        <v>8.1802276785795137E-3</v>
      </c>
      <c r="AT87" s="1">
        <v>25157</v>
      </c>
      <c r="AU87" s="1">
        <f t="shared" si="237"/>
        <v>4.5715230656844109E-2</v>
      </c>
      <c r="AV87" s="1">
        <f t="shared" si="238"/>
        <v>6.9301165087985825E-2</v>
      </c>
      <c r="AW87" s="1">
        <v>221859</v>
      </c>
      <c r="AX87" s="1">
        <f t="shared" si="174"/>
        <v>270667.98</v>
      </c>
      <c r="AY87" s="1">
        <f t="shared" si="269"/>
        <v>0.4918571028788038</v>
      </c>
      <c r="AZ87" s="1">
        <f t="shared" si="239"/>
        <v>3.0653637974467642E-3</v>
      </c>
      <c r="BA87" s="1">
        <f t="shared" si="175"/>
        <v>60.4858519474</v>
      </c>
      <c r="BB87" s="1">
        <v>25933</v>
      </c>
      <c r="BC87" s="1">
        <f t="shared" si="176"/>
        <v>31638.26</v>
      </c>
      <c r="BD87" s="1">
        <f t="shared" si="177"/>
        <v>1.2576324681003299</v>
      </c>
      <c r="BE87" s="1">
        <f t="shared" si="178"/>
        <v>0.11688955597924808</v>
      </c>
      <c r="BF87" s="1">
        <f t="shared" si="179"/>
        <v>8.1317711008937251E-3</v>
      </c>
      <c r="BG87" s="1">
        <v>7479</v>
      </c>
      <c r="BH87" s="1">
        <f t="shared" si="240"/>
        <v>1.3849589641788392E-2</v>
      </c>
      <c r="BI87" s="1">
        <v>290499.27799999999</v>
      </c>
      <c r="BJ87" s="1">
        <f t="shared" si="270"/>
        <v>0.53794568679446531</v>
      </c>
      <c r="BK87" s="1">
        <v>101.2013381</v>
      </c>
      <c r="BL87" s="1">
        <v>14124.587</v>
      </c>
      <c r="BM87">
        <f t="shared" si="271"/>
        <v>1.8885662521727502</v>
      </c>
      <c r="BN87">
        <f t="shared" si="272"/>
        <v>4.8621762839630878E-2</v>
      </c>
      <c r="BO87">
        <f t="shared" si="180"/>
        <v>5.3155985572335557E-3</v>
      </c>
      <c r="BP87">
        <v>144974</v>
      </c>
      <c r="BQ87">
        <f t="shared" si="181"/>
        <v>189915.94</v>
      </c>
      <c r="BR87">
        <f t="shared" si="273"/>
        <v>0.34968832661941457</v>
      </c>
      <c r="BS87">
        <f t="shared" si="182"/>
        <v>59.525235619600004</v>
      </c>
      <c r="BT87">
        <f t="shared" si="183"/>
        <v>5.8746231405805965E-3</v>
      </c>
      <c r="BU87">
        <v>172.22</v>
      </c>
      <c r="BV87">
        <f t="shared" si="184"/>
        <v>172220</v>
      </c>
      <c r="BW87">
        <f t="shared" si="185"/>
        <v>220441.60000000001</v>
      </c>
      <c r="BX87">
        <f t="shared" si="274"/>
        <v>0.40436351363001855</v>
      </c>
      <c r="BY87">
        <f t="shared" si="186"/>
        <v>76.247206297600002</v>
      </c>
      <c r="BZ87">
        <f t="shared" si="187"/>
        <v>5.3033223545496189E-3</v>
      </c>
      <c r="CA87" s="1">
        <v>7038</v>
      </c>
      <c r="CB87" s="1">
        <f t="shared" si="241"/>
        <v>1.2789434088439355E-2</v>
      </c>
      <c r="CC87" s="1">
        <f t="shared" si="242"/>
        <v>-7.6547795333244212E-2</v>
      </c>
      <c r="CD87" s="1">
        <v>229951</v>
      </c>
      <c r="CE87" s="1">
        <f t="shared" si="188"/>
        <v>280540.21999999997</v>
      </c>
      <c r="CF87">
        <f t="shared" si="275"/>
        <v>0.50979691003783401</v>
      </c>
      <c r="CG87">
        <f t="shared" si="243"/>
        <v>-5.2326428945579026E-2</v>
      </c>
      <c r="CH87">
        <f t="shared" si="189"/>
        <v>90.917938902799989</v>
      </c>
      <c r="CI87" s="1">
        <v>11961</v>
      </c>
      <c r="CJ87" s="1">
        <f t="shared" si="190"/>
        <v>14592.42</v>
      </c>
      <c r="CK87">
        <f t="shared" si="191"/>
        <v>2.073375959079284</v>
      </c>
      <c r="CL87">
        <f t="shared" si="192"/>
        <v>5.201542937408405E-2</v>
      </c>
      <c r="CM87">
        <f t="shared" si="193"/>
        <v>5.6072202712696322E-3</v>
      </c>
      <c r="CN87" s="1">
        <v>108275</v>
      </c>
      <c r="CO87" s="1">
        <f t="shared" si="244"/>
        <v>0.20050331842019495</v>
      </c>
      <c r="CP87" s="1">
        <v>578723645</v>
      </c>
      <c r="CQ87" s="1">
        <f t="shared" si="276"/>
        <v>1071.678700260733</v>
      </c>
      <c r="CR87" s="1">
        <v>108123.0123</v>
      </c>
      <c r="CS87" s="1">
        <v>125649622</v>
      </c>
      <c r="CT87">
        <f t="shared" si="194"/>
        <v>1160.4675317478643</v>
      </c>
      <c r="CU87">
        <f t="shared" si="195"/>
        <v>0.21711506534349395</v>
      </c>
      <c r="CV87">
        <f t="shared" si="196"/>
        <v>9.9116615183383397E-3</v>
      </c>
      <c r="CW87" s="1">
        <v>88883</v>
      </c>
      <c r="CX87" s="1">
        <f t="shared" si="245"/>
        <v>0.16151794118822893</v>
      </c>
      <c r="CY87" s="1">
        <f t="shared" si="246"/>
        <v>-0.19443756611680776</v>
      </c>
      <c r="CZ87" s="1">
        <v>437966480</v>
      </c>
      <c r="DA87" s="1">
        <f t="shared" si="261"/>
        <v>534319105.59999996</v>
      </c>
      <c r="DB87" s="1">
        <f t="shared" si="277"/>
        <v>970.96319739486603</v>
      </c>
      <c r="DC87" s="1">
        <f t="shared" si="247"/>
        <v>-9.3979196228649003E-2</v>
      </c>
      <c r="DD87" s="1">
        <f t="shared" si="197"/>
        <v>93954.54819500001</v>
      </c>
      <c r="DE87" s="1">
        <v>89589673</v>
      </c>
      <c r="DF87" s="1">
        <f t="shared" si="262"/>
        <v>109299401.06</v>
      </c>
      <c r="DG87">
        <f t="shared" si="263"/>
        <v>1229.6997295320816</v>
      </c>
      <c r="DH87">
        <f t="shared" si="264"/>
        <v>0.20455828720042687</v>
      </c>
      <c r="DI87">
        <f t="shared" si="201"/>
        <v>1.0334392704221826E-2</v>
      </c>
      <c r="DJ87" s="1">
        <v>1141677</v>
      </c>
      <c r="DK87">
        <f t="shared" si="278"/>
        <v>2.1141540250659241</v>
      </c>
      <c r="DL87">
        <v>1889.3069949999999</v>
      </c>
      <c r="DM87" s="1">
        <v>957957</v>
      </c>
      <c r="DN87" s="3">
        <f t="shared" si="202"/>
        <v>1.1190103200067411E-3</v>
      </c>
      <c r="DO87" s="1">
        <v>1154732</v>
      </c>
      <c r="DP87" s="1">
        <f t="shared" si="203"/>
        <v>1408773.04</v>
      </c>
      <c r="DQ87" s="3">
        <f t="shared" si="279"/>
        <v>2.5600184627238334</v>
      </c>
      <c r="DR87" s="3">
        <f t="shared" si="204"/>
        <v>1905.8896083399998</v>
      </c>
      <c r="DS87" s="3">
        <f t="shared" si="205"/>
        <v>833354.53166584438</v>
      </c>
      <c r="DT87" s="3">
        <f t="shared" si="206"/>
        <v>1.3432144503655538E-3</v>
      </c>
      <c r="DU87" s="3">
        <f t="shared" si="207"/>
        <v>0.86992895470866061</v>
      </c>
      <c r="DV87" s="3">
        <f t="shared" si="208"/>
        <v>399.45602779191989</v>
      </c>
      <c r="DW87" s="3">
        <f t="shared" si="209"/>
        <v>0.1261406749238895</v>
      </c>
      <c r="DX87" s="3">
        <f t="shared" si="210"/>
        <v>580420620.278</v>
      </c>
      <c r="DY87" s="3">
        <f t="shared" si="248"/>
        <v>1074.8211539621047</v>
      </c>
      <c r="DZ87" s="3">
        <f t="shared" si="211"/>
        <v>579865322</v>
      </c>
      <c r="EA87" s="3">
        <f t="shared" si="212"/>
        <v>368589.46</v>
      </c>
      <c r="EB87" s="3">
        <f t="shared" si="249"/>
        <v>0.67867621578764603</v>
      </c>
      <c r="EC87" s="3">
        <f t="shared" si="213"/>
        <v>451264</v>
      </c>
      <c r="ED87" s="3">
        <f t="shared" si="250"/>
        <v>0.82776888125805959</v>
      </c>
      <c r="EE87" s="9">
        <f t="shared" si="214"/>
        <v>536279086.83999997</v>
      </c>
      <c r="EF87" s="13">
        <f t="shared" si="251"/>
        <v>974.52486987050645</v>
      </c>
      <c r="EG87" s="14">
        <f t="shared" si="252"/>
        <v>-9.3314393489444175E-2</v>
      </c>
      <c r="EH87" s="9">
        <f t="shared" si="215"/>
        <v>535727878.63999999</v>
      </c>
      <c r="EI87" s="10">
        <v>360783</v>
      </c>
      <c r="EJ87" s="10">
        <f t="shared" si="280"/>
        <v>472625.73000000004</v>
      </c>
      <c r="EK87" s="10">
        <f t="shared" si="253"/>
        <v>0.87023606676184861</v>
      </c>
      <c r="EL87" s="10">
        <v>1090000</v>
      </c>
      <c r="EM87" s="10">
        <f t="shared" si="281"/>
        <v>1395200</v>
      </c>
      <c r="EN87" s="10">
        <f t="shared" si="254"/>
        <v>2.5592627444937879</v>
      </c>
      <c r="EO87" s="11">
        <v>2702758</v>
      </c>
      <c r="EP87" s="11">
        <f t="shared" si="282"/>
        <v>3297364.76</v>
      </c>
      <c r="EQ87" s="11">
        <f t="shared" si="255"/>
        <v>5.9919621005346189</v>
      </c>
      <c r="ER87" s="10">
        <f t="shared" si="256"/>
        <v>9.4214609117902555</v>
      </c>
      <c r="ES87" s="10">
        <f t="shared" si="216"/>
        <v>2.3633635034403668</v>
      </c>
      <c r="ET87" s="12">
        <v>17237</v>
      </c>
      <c r="EU87" s="12">
        <f t="shared" si="283"/>
        <v>22580.47</v>
      </c>
      <c r="EV87" s="12">
        <f t="shared" si="257"/>
        <v>4.1576956460736746E-2</v>
      </c>
      <c r="EW87" s="10">
        <v>5000</v>
      </c>
      <c r="EX87" s="10">
        <f t="shared" si="284"/>
        <v>6400</v>
      </c>
      <c r="EY87" s="10">
        <f t="shared" si="258"/>
        <v>1.1739737360063248E-2</v>
      </c>
      <c r="EZ87" s="3">
        <f t="shared" si="217"/>
        <v>11816.817517201835</v>
      </c>
      <c r="FA87" s="3">
        <f t="shared" si="259"/>
        <v>2.1473488032305831E-2</v>
      </c>
      <c r="FB87" s="3">
        <f t="shared" si="260"/>
        <v>7.4790181853105819E-2</v>
      </c>
      <c r="FC87" s="1">
        <f t="shared" si="218"/>
        <v>0.44530000000000003</v>
      </c>
      <c r="FD87">
        <f>4.53/10</f>
        <v>0.45300000000000001</v>
      </c>
      <c r="FE87">
        <f>5</f>
        <v>5</v>
      </c>
      <c r="FF87" s="7">
        <f t="shared" si="219"/>
        <v>16.3675</v>
      </c>
      <c r="FG87" s="1">
        <f t="shared" si="220"/>
        <v>2.2734999999999999</v>
      </c>
      <c r="FH87">
        <v>2.63E-2</v>
      </c>
      <c r="FI87">
        <v>3.4000000000000002E-2</v>
      </c>
      <c r="FJ87">
        <v>4.41E-2</v>
      </c>
      <c r="FK87">
        <v>4.0899999999999999E-2</v>
      </c>
      <c r="FL87" s="1">
        <f t="shared" si="221"/>
        <v>2.5666666666666672E-3</v>
      </c>
    </row>
    <row r="88" spans="1:168">
      <c r="A88" t="s">
        <v>130</v>
      </c>
      <c r="B88" s="1" t="s">
        <v>83</v>
      </c>
      <c r="C88" s="1">
        <v>101050</v>
      </c>
      <c r="D88" s="6">
        <f t="shared" si="285"/>
        <v>107066.5</v>
      </c>
      <c r="E88" s="6">
        <f t="shared" si="286"/>
        <v>111077.5</v>
      </c>
      <c r="F88" s="1">
        <v>121105</v>
      </c>
      <c r="G88" s="1">
        <f t="shared" si="265"/>
        <v>2005.5</v>
      </c>
      <c r="H88" s="1">
        <v>1.31</v>
      </c>
      <c r="I88" s="1">
        <v>1.28</v>
      </c>
      <c r="J88" s="1">
        <v>1.22</v>
      </c>
      <c r="K88">
        <v>43240</v>
      </c>
      <c r="L88">
        <f t="shared" si="225"/>
        <v>0.42790697674418604</v>
      </c>
      <c r="M88" s="1">
        <v>44102</v>
      </c>
      <c r="N88">
        <f t="shared" si="226"/>
        <v>0.36416332934230627</v>
      </c>
      <c r="O88">
        <f t="shared" si="227"/>
        <v>-0.1489661325152625</v>
      </c>
      <c r="P88">
        <f t="shared" si="228"/>
        <v>0.14042871300687995</v>
      </c>
      <c r="Q88">
        <f t="shared" si="229"/>
        <v>0.1234469988440877</v>
      </c>
      <c r="R88">
        <f t="shared" si="230"/>
        <v>459.96269505349005</v>
      </c>
      <c r="S88">
        <f t="shared" si="231"/>
        <v>392.63923912068185</v>
      </c>
      <c r="T88">
        <f t="shared" si="232"/>
        <v>323.08575519049975</v>
      </c>
      <c r="U88">
        <v>92297.113769999996</v>
      </c>
      <c r="V88">
        <f t="shared" si="233"/>
        <v>3.5004968410563089E-3</v>
      </c>
      <c r="W88">
        <f t="shared" si="234"/>
        <v>273.6804376367615</v>
      </c>
      <c r="X88">
        <v>79429.064259999999</v>
      </c>
      <c r="Y88">
        <f t="shared" si="235"/>
        <v>3.4455956416772912E-3</v>
      </c>
      <c r="Z88" s="1">
        <v>2874</v>
      </c>
      <c r="AA88" s="1">
        <f t="shared" si="236"/>
        <v>2.8441365660564079E-2</v>
      </c>
      <c r="AB88" s="1">
        <v>27452</v>
      </c>
      <c r="AC88" s="1">
        <f t="shared" si="266"/>
        <v>0.27166749134092033</v>
      </c>
      <c r="AD88" s="1">
        <v>61.278341249999997</v>
      </c>
      <c r="AE88" s="1">
        <v>2875</v>
      </c>
      <c r="AF88">
        <f t="shared" si="165"/>
        <v>1.0003479471120389</v>
      </c>
      <c r="AG88">
        <f t="shared" si="166"/>
        <v>0.10472825295060469</v>
      </c>
      <c r="AH88">
        <f t="shared" si="222"/>
        <v>4.4333362457150442E-3</v>
      </c>
      <c r="AI88">
        <v>18648</v>
      </c>
      <c r="AJ88">
        <f t="shared" si="167"/>
        <v>24428.880000000001</v>
      </c>
      <c r="AK88">
        <f t="shared" si="267"/>
        <v>0.22816548593631061</v>
      </c>
      <c r="AL88">
        <f t="shared" si="168"/>
        <v>40.567501634999999</v>
      </c>
      <c r="AM88">
        <f t="shared" si="169"/>
        <v>5.6243415724536181E-3</v>
      </c>
      <c r="AN88">
        <v>22.62</v>
      </c>
      <c r="AO88">
        <f t="shared" si="170"/>
        <v>22620</v>
      </c>
      <c r="AP88">
        <f t="shared" si="171"/>
        <v>28953.600000000002</v>
      </c>
      <c r="AQ88">
        <f t="shared" si="268"/>
        <v>0.26066125002813351</v>
      </c>
      <c r="AR88">
        <f t="shared" si="172"/>
        <v>51.759606732800002</v>
      </c>
      <c r="AS88">
        <f t="shared" si="173"/>
        <v>5.0359974984692602E-3</v>
      </c>
      <c r="AT88" s="1">
        <v>4322</v>
      </c>
      <c r="AU88" s="1">
        <f t="shared" si="237"/>
        <v>3.5688039304735561E-2</v>
      </c>
      <c r="AV88" s="1">
        <f t="shared" si="238"/>
        <v>0.2547934487625359</v>
      </c>
      <c r="AW88" s="1">
        <v>32781</v>
      </c>
      <c r="AX88" s="1">
        <f t="shared" si="174"/>
        <v>39992.82</v>
      </c>
      <c r="AY88" s="1">
        <f t="shared" si="269"/>
        <v>0.33023260806737953</v>
      </c>
      <c r="AZ88" s="1">
        <f t="shared" si="239"/>
        <v>0.21557646237828582</v>
      </c>
      <c r="BA88" s="1">
        <f t="shared" si="175"/>
        <v>60.4858519474</v>
      </c>
      <c r="BB88" s="1">
        <v>3278</v>
      </c>
      <c r="BC88" s="1">
        <f t="shared" si="176"/>
        <v>3999.16</v>
      </c>
      <c r="BD88" s="1">
        <f t="shared" si="177"/>
        <v>0.92530310041647379</v>
      </c>
      <c r="BE88" s="1">
        <f t="shared" si="178"/>
        <v>9.9996949452426709E-2</v>
      </c>
      <c r="BF88" s="1">
        <f t="shared" si="179"/>
        <v>5.4596669706257588E-3</v>
      </c>
      <c r="BG88" s="1">
        <v>1297</v>
      </c>
      <c r="BH88" s="1">
        <f t="shared" si="240"/>
        <v>1.2835230084116774E-2</v>
      </c>
      <c r="BI88" s="1">
        <v>45896.561999999998</v>
      </c>
      <c r="BJ88" s="1">
        <f t="shared" si="270"/>
        <v>0.45419655616031668</v>
      </c>
      <c r="BK88" s="1">
        <v>101.2013381</v>
      </c>
      <c r="BL88" s="1">
        <v>2106.8040000000001</v>
      </c>
      <c r="BM88">
        <f t="shared" si="271"/>
        <v>1.62436700077101</v>
      </c>
      <c r="BN88">
        <f t="shared" si="272"/>
        <v>4.5903307528786144E-2</v>
      </c>
      <c r="BO88">
        <f t="shared" si="180"/>
        <v>4.4880489199807987E-3</v>
      </c>
      <c r="BP88">
        <v>31935</v>
      </c>
      <c r="BQ88">
        <f t="shared" si="181"/>
        <v>41834.85</v>
      </c>
      <c r="BR88">
        <f t="shared" si="273"/>
        <v>0.39073706528185753</v>
      </c>
      <c r="BS88">
        <f t="shared" si="182"/>
        <v>59.525235619600004</v>
      </c>
      <c r="BT88">
        <f t="shared" si="183"/>
        <v>6.5642254283357878E-3</v>
      </c>
      <c r="BU88">
        <v>42.45</v>
      </c>
      <c r="BV88">
        <f t="shared" si="184"/>
        <v>42450</v>
      </c>
      <c r="BW88">
        <f t="shared" si="185"/>
        <v>54336</v>
      </c>
      <c r="BX88">
        <f t="shared" si="274"/>
        <v>0.489171974522293</v>
      </c>
      <c r="BY88">
        <f t="shared" si="186"/>
        <v>76.247206297600002</v>
      </c>
      <c r="BZ88">
        <f t="shared" si="187"/>
        <v>6.4156052172326013E-3</v>
      </c>
      <c r="CA88" s="1">
        <v>1440</v>
      </c>
      <c r="CB88" s="1">
        <f t="shared" si="241"/>
        <v>1.1890508236654143E-2</v>
      </c>
      <c r="CC88" s="1">
        <f t="shared" si="242"/>
        <v>-7.3603810860523367E-2</v>
      </c>
      <c r="CD88" s="1">
        <v>36196</v>
      </c>
      <c r="CE88" s="1">
        <f t="shared" si="188"/>
        <v>44159.12</v>
      </c>
      <c r="CF88">
        <f t="shared" si="275"/>
        <v>0.3646349861690269</v>
      </c>
      <c r="CG88">
        <f t="shared" si="243"/>
        <v>-0.19718680993186008</v>
      </c>
      <c r="CH88">
        <f t="shared" si="189"/>
        <v>90.917938902799989</v>
      </c>
      <c r="CI88" s="1">
        <v>1859</v>
      </c>
      <c r="CJ88" s="1">
        <f t="shared" si="190"/>
        <v>2267.98</v>
      </c>
      <c r="CK88">
        <f t="shared" si="191"/>
        <v>1.5749861111111112</v>
      </c>
      <c r="CL88">
        <f t="shared" si="192"/>
        <v>5.135926621726157E-2</v>
      </c>
      <c r="CM88">
        <f t="shared" si="193"/>
        <v>4.0105945049948473E-3</v>
      </c>
      <c r="CN88" s="1">
        <v>5270</v>
      </c>
      <c r="CO88" s="1">
        <f t="shared" si="244"/>
        <v>5.2152399802078177E-2</v>
      </c>
      <c r="CP88" s="1">
        <v>32574467</v>
      </c>
      <c r="CQ88" s="1">
        <f t="shared" si="276"/>
        <v>322.35989114299849</v>
      </c>
      <c r="CR88" s="1">
        <v>108123.0123</v>
      </c>
      <c r="CS88" s="1">
        <v>4337526</v>
      </c>
      <c r="CT88">
        <f t="shared" si="194"/>
        <v>823.05996204933581</v>
      </c>
      <c r="CU88">
        <f t="shared" si="195"/>
        <v>0.13315723631026719</v>
      </c>
      <c r="CV88">
        <f t="shared" si="196"/>
        <v>2.9814179635374301E-3</v>
      </c>
      <c r="CW88" s="1">
        <v>5383</v>
      </c>
      <c r="CX88" s="1">
        <f t="shared" si="245"/>
        <v>4.4449031831881425E-2</v>
      </c>
      <c r="CY88" s="1">
        <f t="shared" si="246"/>
        <v>-0.14770879191430394</v>
      </c>
      <c r="CZ88" s="1">
        <v>27098293</v>
      </c>
      <c r="DA88" s="1">
        <f t="shared" si="261"/>
        <v>33059917.460000001</v>
      </c>
      <c r="DB88" s="1">
        <f t="shared" si="277"/>
        <v>272.98557004252507</v>
      </c>
      <c r="DC88" s="1">
        <f t="shared" si="247"/>
        <v>-0.15316521210317394</v>
      </c>
      <c r="DD88" s="1">
        <f t="shared" si="197"/>
        <v>93954.54819500001</v>
      </c>
      <c r="DE88" s="1">
        <v>3581719</v>
      </c>
      <c r="DF88" s="1">
        <f t="shared" si="262"/>
        <v>4369697.18</v>
      </c>
      <c r="DG88">
        <f t="shared" si="263"/>
        <v>811.75871818688461</v>
      </c>
      <c r="DH88">
        <f t="shared" si="264"/>
        <v>0.13217507833426997</v>
      </c>
      <c r="DI88">
        <f t="shared" si="201"/>
        <v>2.9055067081579832E-3</v>
      </c>
      <c r="DJ88" s="1">
        <v>3349985</v>
      </c>
      <c r="DK88">
        <f t="shared" si="278"/>
        <v>33.151756556160315</v>
      </c>
      <c r="DL88">
        <v>1889.3069949999999</v>
      </c>
      <c r="DM88" s="1">
        <v>712617</v>
      </c>
      <c r="DN88" s="3">
        <f t="shared" si="202"/>
        <v>1.7547045897726279E-2</v>
      </c>
      <c r="DO88" s="1">
        <v>1888568</v>
      </c>
      <c r="DP88" s="1">
        <f t="shared" si="203"/>
        <v>2304052.96</v>
      </c>
      <c r="DQ88" s="3">
        <f t="shared" si="279"/>
        <v>19.025250485116221</v>
      </c>
      <c r="DR88" s="3">
        <f t="shared" si="204"/>
        <v>1905.8896083399998</v>
      </c>
      <c r="DS88" s="3">
        <f t="shared" si="205"/>
        <v>718107.30264042597</v>
      </c>
      <c r="DT88" s="3">
        <f t="shared" si="206"/>
        <v>9.9823465125490236E-3</v>
      </c>
      <c r="DU88" s="3">
        <f t="shared" si="207"/>
        <v>1.0077044227690695</v>
      </c>
      <c r="DV88" s="3">
        <f t="shared" si="208"/>
        <v>273.32394739927179</v>
      </c>
      <c r="DW88" s="3">
        <f t="shared" si="209"/>
        <v>9.4553348465602705E-2</v>
      </c>
      <c r="DX88" s="3">
        <f t="shared" si="210"/>
        <v>35997800.561999999</v>
      </c>
      <c r="DY88" s="3">
        <f t="shared" si="248"/>
        <v>356.23751174666006</v>
      </c>
      <c r="DZ88" s="3">
        <f t="shared" si="211"/>
        <v>35924452</v>
      </c>
      <c r="EA88" s="3">
        <f t="shared" si="212"/>
        <v>66263.73</v>
      </c>
      <c r="EB88" s="3">
        <f t="shared" si="249"/>
        <v>0.61890255121816806</v>
      </c>
      <c r="EC88" s="3">
        <f t="shared" si="213"/>
        <v>83289.600000000006</v>
      </c>
      <c r="ED88" s="3">
        <f t="shared" si="250"/>
        <v>0.74983322455042656</v>
      </c>
      <c r="EE88" s="9">
        <f t="shared" si="214"/>
        <v>35448122.359999999</v>
      </c>
      <c r="EF88" s="13">
        <f t="shared" si="251"/>
        <v>292.7056881218777</v>
      </c>
      <c r="EG88" s="14">
        <f t="shared" si="252"/>
        <v>-0.17834119521349934</v>
      </c>
      <c r="EH88" s="9">
        <f t="shared" si="215"/>
        <v>35363970.420000002</v>
      </c>
      <c r="EI88" s="10">
        <v>213813</v>
      </c>
      <c r="EJ88" s="10">
        <f t="shared" si="280"/>
        <v>280095.03000000003</v>
      </c>
      <c r="EK88" s="10">
        <f t="shared" si="253"/>
        <v>2.6160846763460097</v>
      </c>
      <c r="EL88" s="10">
        <v>67000</v>
      </c>
      <c r="EM88" s="10">
        <f t="shared" si="281"/>
        <v>85760</v>
      </c>
      <c r="EN88" s="10">
        <f t="shared" si="254"/>
        <v>0.77207355224955554</v>
      </c>
      <c r="EO88" s="11">
        <v>1845070</v>
      </c>
      <c r="EP88" s="11">
        <f t="shared" si="282"/>
        <v>2250985.4</v>
      </c>
      <c r="EQ88" s="11">
        <f t="shared" si="255"/>
        <v>18.587055860616818</v>
      </c>
      <c r="ER88" s="10">
        <f t="shared" si="256"/>
        <v>21.975214089212383</v>
      </c>
      <c r="ES88" s="10">
        <f t="shared" si="216"/>
        <v>26.247497667910448</v>
      </c>
      <c r="ET88" s="12">
        <v>60272</v>
      </c>
      <c r="EU88" s="12">
        <f t="shared" si="283"/>
        <v>78956.320000000007</v>
      </c>
      <c r="EV88" s="12">
        <f t="shared" si="257"/>
        <v>0.73745121022915672</v>
      </c>
      <c r="EW88" s="10">
        <v>15000</v>
      </c>
      <c r="EX88" s="10">
        <f t="shared" si="284"/>
        <v>19200</v>
      </c>
      <c r="EY88" s="10">
        <f t="shared" si="258"/>
        <v>0.17285228781706466</v>
      </c>
      <c r="EZ88" s="3">
        <f t="shared" si="217"/>
        <v>393712.46501865675</v>
      </c>
      <c r="FA88" s="3">
        <f t="shared" si="259"/>
        <v>3.251000908456767</v>
      </c>
      <c r="FB88" s="3">
        <f t="shared" si="260"/>
        <v>4.1613044065029881</v>
      </c>
      <c r="FC88" s="1">
        <f t="shared" si="218"/>
        <v>0.23229999999999998</v>
      </c>
      <c r="FD88">
        <f>2.4/10</f>
        <v>0.24</v>
      </c>
      <c r="FE88">
        <f>2.8</f>
        <v>2.8</v>
      </c>
      <c r="FF88" s="7">
        <f t="shared" si="219"/>
        <v>9.1999999999999993</v>
      </c>
      <c r="FG88" s="1">
        <f t="shared" si="220"/>
        <v>1.2799999999999998</v>
      </c>
      <c r="FH88">
        <v>2.63E-2</v>
      </c>
      <c r="FI88">
        <v>3.4000000000000002E-2</v>
      </c>
      <c r="FJ88">
        <v>4.41E-2</v>
      </c>
      <c r="FK88">
        <v>4.0899999999999999E-2</v>
      </c>
      <c r="FL88" s="1">
        <f t="shared" si="221"/>
        <v>2.5666666666666672E-3</v>
      </c>
    </row>
    <row r="89" spans="1:168">
      <c r="A89" t="s">
        <v>135</v>
      </c>
      <c r="B89" s="1" t="s">
        <v>92</v>
      </c>
      <c r="C89" s="1">
        <v>222854</v>
      </c>
      <c r="D89" s="6">
        <f t="shared" si="285"/>
        <v>233177.9</v>
      </c>
      <c r="E89" s="6">
        <f t="shared" si="286"/>
        <v>240060.5</v>
      </c>
      <c r="F89" s="1">
        <v>257267</v>
      </c>
      <c r="G89" s="1">
        <f t="shared" si="265"/>
        <v>3441.3</v>
      </c>
      <c r="H89" s="1">
        <v>1.31</v>
      </c>
      <c r="I89" s="1">
        <v>1.28</v>
      </c>
      <c r="J89" s="1">
        <v>1.22</v>
      </c>
      <c r="K89">
        <v>94128</v>
      </c>
      <c r="L89">
        <f t="shared" si="225"/>
        <v>0.42237518734238561</v>
      </c>
      <c r="M89" s="1">
        <v>94179</v>
      </c>
      <c r="N89">
        <f t="shared" si="226"/>
        <v>0.36607493382361517</v>
      </c>
      <c r="O89">
        <f t="shared" si="227"/>
        <v>-0.13329441502711273</v>
      </c>
      <c r="P89">
        <f t="shared" si="228"/>
        <v>0.14699476789201121</v>
      </c>
      <c r="Q89">
        <f t="shared" si="229"/>
        <v>0.13705049404764261</v>
      </c>
      <c r="R89">
        <f t="shared" si="230"/>
        <v>623.64496140863059</v>
      </c>
      <c r="S89">
        <f t="shared" si="231"/>
        <v>621.22347317599781</v>
      </c>
      <c r="T89">
        <f t="shared" si="232"/>
        <v>628.77500602636712</v>
      </c>
      <c r="U89">
        <v>92297.113769999996</v>
      </c>
      <c r="V89">
        <f t="shared" si="233"/>
        <v>6.8125099512130402E-3</v>
      </c>
      <c r="W89">
        <f t="shared" si="234"/>
        <v>579.20757975177537</v>
      </c>
      <c r="X89">
        <v>79429.064259999999</v>
      </c>
      <c r="Y89">
        <f t="shared" si="235"/>
        <v>7.2921365138561862E-3</v>
      </c>
      <c r="Z89" s="1">
        <v>9487</v>
      </c>
      <c r="AA89" s="1">
        <f t="shared" si="236"/>
        <v>4.2570472147684134E-2</v>
      </c>
      <c r="AB89" s="1">
        <v>97002</v>
      </c>
      <c r="AC89" s="1">
        <f t="shared" si="266"/>
        <v>0.4352715230599406</v>
      </c>
      <c r="AD89" s="1">
        <v>61.278341249999997</v>
      </c>
      <c r="AE89" s="1">
        <v>11023</v>
      </c>
      <c r="AF89">
        <f t="shared" si="165"/>
        <v>1.161905765784758</v>
      </c>
      <c r="AG89">
        <f t="shared" si="166"/>
        <v>0.11363683223026329</v>
      </c>
      <c r="AH89">
        <f t="shared" si="222"/>
        <v>7.1031870997314344E-3</v>
      </c>
      <c r="AI89">
        <v>55675</v>
      </c>
      <c r="AJ89">
        <f t="shared" si="167"/>
        <v>72934.25</v>
      </c>
      <c r="AK89">
        <f t="shared" si="267"/>
        <v>0.31278371578095526</v>
      </c>
      <c r="AL89">
        <f t="shared" si="168"/>
        <v>40.567501634999999</v>
      </c>
      <c r="AM89">
        <f t="shared" si="169"/>
        <v>7.7102040592782802E-3</v>
      </c>
      <c r="AN89">
        <v>83.18</v>
      </c>
      <c r="AO89">
        <f t="shared" si="170"/>
        <v>83180</v>
      </c>
      <c r="AP89">
        <f t="shared" si="171"/>
        <v>106470.40000000001</v>
      </c>
      <c r="AQ89">
        <f t="shared" si="268"/>
        <v>0.44351486396137646</v>
      </c>
      <c r="AR89">
        <f t="shared" si="172"/>
        <v>51.759606732800002</v>
      </c>
      <c r="AS89">
        <f t="shared" si="173"/>
        <v>8.5687448564079147E-3</v>
      </c>
      <c r="AT89" s="1">
        <v>11472</v>
      </c>
      <c r="AU89" s="1">
        <f t="shared" si="237"/>
        <v>4.4591805400614928E-2</v>
      </c>
      <c r="AV89" s="1">
        <f t="shared" si="238"/>
        <v>4.7482049198760333E-2</v>
      </c>
      <c r="AW89" s="1">
        <v>90782</v>
      </c>
      <c r="AX89" s="1">
        <f t="shared" si="174"/>
        <v>110754.04</v>
      </c>
      <c r="AY89" s="1">
        <f t="shared" si="269"/>
        <v>0.43050231860285226</v>
      </c>
      <c r="AZ89" s="1">
        <f t="shared" si="239"/>
        <v>-1.095684924104621E-2</v>
      </c>
      <c r="BA89" s="1">
        <f t="shared" si="175"/>
        <v>60.4858519474</v>
      </c>
      <c r="BB89" s="1">
        <v>9836</v>
      </c>
      <c r="BC89" s="1">
        <f t="shared" si="176"/>
        <v>11999.92</v>
      </c>
      <c r="BD89" s="1">
        <f t="shared" si="177"/>
        <v>1.0460181311018131</v>
      </c>
      <c r="BE89" s="1">
        <f t="shared" si="178"/>
        <v>0.1083474697627283</v>
      </c>
      <c r="BF89" s="1">
        <f t="shared" si="179"/>
        <v>7.1174052235757181E-3</v>
      </c>
      <c r="BG89" s="1">
        <v>3353</v>
      </c>
      <c r="BH89" s="1">
        <f t="shared" si="240"/>
        <v>1.5045725003814157E-2</v>
      </c>
      <c r="BI89" s="1">
        <v>139744.193</v>
      </c>
      <c r="BJ89" s="1">
        <f t="shared" si="270"/>
        <v>0.62706611952219837</v>
      </c>
      <c r="BK89" s="1">
        <v>101.2013381</v>
      </c>
      <c r="BL89" s="1">
        <v>5954.2659999999996</v>
      </c>
      <c r="BM89">
        <f t="shared" si="271"/>
        <v>1.7758025648672828</v>
      </c>
      <c r="BN89">
        <f t="shared" si="272"/>
        <v>4.2608325055768149E-2</v>
      </c>
      <c r="BO89">
        <f t="shared" si="180"/>
        <v>6.1962236003497897E-3</v>
      </c>
      <c r="BP89">
        <v>76845</v>
      </c>
      <c r="BQ89">
        <f t="shared" si="181"/>
        <v>100666.95</v>
      </c>
      <c r="BR89">
        <f t="shared" si="273"/>
        <v>0.43171737115738668</v>
      </c>
      <c r="BS89">
        <f t="shared" si="182"/>
        <v>59.525235619600004</v>
      </c>
      <c r="BT89">
        <f t="shared" si="183"/>
        <v>7.2526780728144509E-3</v>
      </c>
      <c r="BU89">
        <v>123.69</v>
      </c>
      <c r="BV89">
        <f t="shared" si="184"/>
        <v>123690</v>
      </c>
      <c r="BW89">
        <f t="shared" si="185"/>
        <v>158323.20000000001</v>
      </c>
      <c r="BX89">
        <f t="shared" si="274"/>
        <v>0.6595137475761319</v>
      </c>
      <c r="BY89">
        <f t="shared" si="186"/>
        <v>76.247206297600002</v>
      </c>
      <c r="BZ89">
        <f t="shared" si="187"/>
        <v>8.6496775370626406E-3</v>
      </c>
      <c r="CA89" s="1">
        <v>4448</v>
      </c>
      <c r="CB89" s="1">
        <f t="shared" si="241"/>
        <v>1.7289430824785144E-2</v>
      </c>
      <c r="CC89" s="1">
        <f t="shared" si="242"/>
        <v>0.14912580287106128</v>
      </c>
      <c r="CD89" s="1">
        <v>131045</v>
      </c>
      <c r="CE89" s="1">
        <f t="shared" si="188"/>
        <v>159874.9</v>
      </c>
      <c r="CF89">
        <f t="shared" si="275"/>
        <v>0.6214357068726265</v>
      </c>
      <c r="CG89">
        <f t="shared" si="243"/>
        <v>-8.9789776138153345E-3</v>
      </c>
      <c r="CH89">
        <f t="shared" si="189"/>
        <v>90.917938902799989</v>
      </c>
      <c r="CI89" s="1">
        <v>6332</v>
      </c>
      <c r="CJ89" s="1">
        <f t="shared" si="190"/>
        <v>7725.04</v>
      </c>
      <c r="CK89">
        <f t="shared" si="191"/>
        <v>1.7367446043165466</v>
      </c>
      <c r="CL89">
        <f t="shared" si="192"/>
        <v>4.8319279636766001E-2</v>
      </c>
      <c r="CM89">
        <f t="shared" si="193"/>
        <v>6.8351275267799563E-3</v>
      </c>
      <c r="CN89" s="1">
        <v>20043</v>
      </c>
      <c r="CO89" s="1">
        <f t="shared" si="244"/>
        <v>8.9937806815224314E-2</v>
      </c>
      <c r="CP89" s="1">
        <v>139888279</v>
      </c>
      <c r="CQ89" s="1">
        <f t="shared" si="276"/>
        <v>627.71266838378494</v>
      </c>
      <c r="CR89" s="1">
        <v>108123.0123</v>
      </c>
      <c r="CS89" s="1">
        <v>20490340</v>
      </c>
      <c r="CT89">
        <f t="shared" si="194"/>
        <v>1022.3190141196428</v>
      </c>
      <c r="CU89">
        <f t="shared" si="195"/>
        <v>0.14647646069046286</v>
      </c>
      <c r="CV89">
        <f t="shared" si="196"/>
        <v>5.8055418086403509E-3</v>
      </c>
      <c r="CW89" s="1">
        <v>17427</v>
      </c>
      <c r="CX89" s="1">
        <f t="shared" si="245"/>
        <v>6.7738963800254209E-2</v>
      </c>
      <c r="CY89" s="1">
        <f t="shared" si="246"/>
        <v>-0.24682437565524862</v>
      </c>
      <c r="CZ89" s="1">
        <v>121918334</v>
      </c>
      <c r="DA89" s="1">
        <f t="shared" si="261"/>
        <v>148740367.47999999</v>
      </c>
      <c r="DB89" s="1">
        <f t="shared" si="277"/>
        <v>578.1556417262999</v>
      </c>
      <c r="DC89" s="1">
        <f t="shared" si="247"/>
        <v>-7.894858452527799E-2</v>
      </c>
      <c r="DD89" s="1">
        <f t="shared" si="197"/>
        <v>93954.54819500001</v>
      </c>
      <c r="DE89" s="1">
        <v>16964110</v>
      </c>
      <c r="DF89" s="1">
        <f t="shared" si="262"/>
        <v>20696214.199999999</v>
      </c>
      <c r="DG89">
        <f t="shared" si="263"/>
        <v>1187.5947782177082</v>
      </c>
      <c r="DH89">
        <f t="shared" si="264"/>
        <v>0.1391432235286286</v>
      </c>
      <c r="DI89">
        <f t="shared" si="201"/>
        <v>6.15356736670538E-3</v>
      </c>
      <c r="DJ89" s="1">
        <v>2282848</v>
      </c>
      <c r="DK89">
        <f t="shared" si="278"/>
        <v>10.243693180288441</v>
      </c>
      <c r="DL89">
        <v>1889.3069949999999</v>
      </c>
      <c r="DM89" s="1">
        <v>425895</v>
      </c>
      <c r="DN89" s="3">
        <f t="shared" si="202"/>
        <v>5.4219315375415951E-3</v>
      </c>
      <c r="DO89" s="1">
        <v>1757809</v>
      </c>
      <c r="DP89" s="1">
        <f t="shared" si="203"/>
        <v>2144526.98</v>
      </c>
      <c r="DQ89" s="3">
        <f t="shared" si="279"/>
        <v>8.335802804090692</v>
      </c>
      <c r="DR89" s="3">
        <f t="shared" si="204"/>
        <v>1905.8896083399998</v>
      </c>
      <c r="DS89" s="3">
        <f t="shared" si="205"/>
        <v>430227.64967780263</v>
      </c>
      <c r="DT89" s="3">
        <f t="shared" si="206"/>
        <v>4.3737070434793157E-3</v>
      </c>
      <c r="DU89" s="3">
        <f t="shared" si="207"/>
        <v>1.0101730465908325</v>
      </c>
      <c r="DV89" s="3">
        <f t="shared" si="208"/>
        <v>369.27237723390363</v>
      </c>
      <c r="DW89" s="3">
        <f t="shared" si="209"/>
        <v>9.9755265150769545E-2</v>
      </c>
      <c r="DX89" s="3">
        <f t="shared" si="210"/>
        <v>142407873.19299999</v>
      </c>
      <c r="DY89" s="3">
        <f t="shared" si="248"/>
        <v>639.01869920665547</v>
      </c>
      <c r="DZ89" s="3">
        <f t="shared" si="211"/>
        <v>142171127</v>
      </c>
      <c r="EA89" s="3">
        <f t="shared" si="212"/>
        <v>173601.2</v>
      </c>
      <c r="EB89" s="3">
        <f t="shared" si="249"/>
        <v>0.74450108693834205</v>
      </c>
      <c r="EC89" s="3">
        <f t="shared" si="213"/>
        <v>264793.60000000003</v>
      </c>
      <c r="ED89" s="3">
        <f t="shared" si="250"/>
        <v>1.1030286115375083</v>
      </c>
      <c r="EE89" s="9">
        <f t="shared" si="214"/>
        <v>151155523.39999998</v>
      </c>
      <c r="EF89" s="13">
        <f t="shared" si="251"/>
        <v>587.54338255586595</v>
      </c>
      <c r="EG89" s="14">
        <f t="shared" si="252"/>
        <v>-8.0553693835088633E-2</v>
      </c>
      <c r="EH89" s="9">
        <f t="shared" si="215"/>
        <v>150884894.45999998</v>
      </c>
      <c r="EI89" s="10">
        <v>172677</v>
      </c>
      <c r="EJ89" s="10">
        <f t="shared" si="280"/>
        <v>226206.87</v>
      </c>
      <c r="EK89" s="10">
        <f t="shared" si="253"/>
        <v>0.97010424229740466</v>
      </c>
      <c r="EL89" s="10">
        <v>256000</v>
      </c>
      <c r="EM89" s="10">
        <f t="shared" si="281"/>
        <v>327680</v>
      </c>
      <c r="EN89" s="10">
        <f t="shared" si="254"/>
        <v>1.3649892422951715</v>
      </c>
      <c r="EO89" s="11">
        <v>1942598</v>
      </c>
      <c r="EP89" s="11">
        <f t="shared" si="282"/>
        <v>2369969.56</v>
      </c>
      <c r="EQ89" s="11">
        <f t="shared" si="255"/>
        <v>9.2121008912919269</v>
      </c>
      <c r="ER89" s="10">
        <f t="shared" si="256"/>
        <v>11.547194375884503</v>
      </c>
      <c r="ES89" s="10">
        <f t="shared" si="216"/>
        <v>7.2325731201171877</v>
      </c>
      <c r="ET89" s="12">
        <v>230135</v>
      </c>
      <c r="EU89" s="12">
        <f t="shared" si="283"/>
        <v>301476.85000000003</v>
      </c>
      <c r="EV89" s="12">
        <f t="shared" si="257"/>
        <v>1.2929049022227237</v>
      </c>
      <c r="EW89" s="10">
        <v>49000</v>
      </c>
      <c r="EX89" s="10">
        <f t="shared" si="284"/>
        <v>62720</v>
      </c>
      <c r="EY89" s="10">
        <f t="shared" si="258"/>
        <v>0.26126747215806018</v>
      </c>
      <c r="EZ89" s="3">
        <f t="shared" si="217"/>
        <v>354396.08288574219</v>
      </c>
      <c r="FA89" s="3">
        <f t="shared" si="259"/>
        <v>1.3775419423623791</v>
      </c>
      <c r="FB89" s="3">
        <f t="shared" si="260"/>
        <v>2.9317143167431627</v>
      </c>
      <c r="FC89" s="1">
        <f t="shared" si="218"/>
        <v>0.36330000000000001</v>
      </c>
      <c r="FD89">
        <f>3.71/10</f>
        <v>0.371</v>
      </c>
      <c r="FE89">
        <f>4.3</f>
        <v>4.3</v>
      </c>
      <c r="FF89" s="7">
        <f t="shared" si="219"/>
        <v>14.122499999999999</v>
      </c>
      <c r="FG89" s="1">
        <f t="shared" si="220"/>
        <v>1.9644999999999999</v>
      </c>
      <c r="FH89">
        <v>2.63E-2</v>
      </c>
      <c r="FI89">
        <v>3.4000000000000002E-2</v>
      </c>
      <c r="FJ89">
        <v>4.41E-2</v>
      </c>
      <c r="FK89">
        <v>4.0899999999999999E-2</v>
      </c>
      <c r="FL89" s="1">
        <f t="shared" si="221"/>
        <v>2.5666666666666672E-3</v>
      </c>
    </row>
    <row r="90" spans="1:168">
      <c r="A90" t="s">
        <v>135</v>
      </c>
      <c r="B90" s="1" t="s">
        <v>93</v>
      </c>
      <c r="C90" s="1">
        <v>155902</v>
      </c>
      <c r="D90" s="6">
        <f t="shared" si="285"/>
        <v>162671.79999999999</v>
      </c>
      <c r="E90" s="6">
        <f t="shared" si="286"/>
        <v>167185</v>
      </c>
      <c r="F90" s="1">
        <v>178468</v>
      </c>
      <c r="G90" s="1">
        <f t="shared" si="265"/>
        <v>2256.6</v>
      </c>
      <c r="H90" s="1">
        <v>1.31</v>
      </c>
      <c r="I90" s="1">
        <v>1.28</v>
      </c>
      <c r="J90" s="1">
        <v>1.22</v>
      </c>
      <c r="K90">
        <v>61007</v>
      </c>
      <c r="L90">
        <f t="shared" si="225"/>
        <v>0.39131633975189545</v>
      </c>
      <c r="M90" s="1">
        <v>62280</v>
      </c>
      <c r="N90">
        <f t="shared" si="226"/>
        <v>0.34897012349552858</v>
      </c>
      <c r="O90">
        <f t="shared" si="227"/>
        <v>-0.10821479185667393</v>
      </c>
      <c r="P90">
        <f t="shared" si="228"/>
        <v>0.2091001109722653</v>
      </c>
      <c r="Q90">
        <f t="shared" si="229"/>
        <v>0.1884389196752829</v>
      </c>
      <c r="R90">
        <f t="shared" si="230"/>
        <v>617.38175118103595</v>
      </c>
      <c r="S90">
        <f t="shared" si="231"/>
        <v>577.6809499060488</v>
      </c>
      <c r="T90">
        <f t="shared" si="232"/>
        <v>443.26929294043691</v>
      </c>
      <c r="U90">
        <v>92297.113769999996</v>
      </c>
      <c r="V90">
        <f t="shared" si="233"/>
        <v>4.8026343927183119E-3</v>
      </c>
      <c r="W90">
        <f t="shared" si="234"/>
        <v>416.15379339713559</v>
      </c>
      <c r="X90">
        <v>79429.064259999999</v>
      </c>
      <c r="Y90">
        <f t="shared" si="235"/>
        <v>5.2393138113136272E-3</v>
      </c>
      <c r="Z90" s="1">
        <v>5733</v>
      </c>
      <c r="AA90" s="1">
        <f t="shared" si="236"/>
        <v>3.6773101050660027E-2</v>
      </c>
      <c r="AB90" s="1">
        <v>57532</v>
      </c>
      <c r="AC90" s="1">
        <f t="shared" si="266"/>
        <v>0.36902669625790563</v>
      </c>
      <c r="AD90" s="1">
        <v>61.278341249999997</v>
      </c>
      <c r="AE90" s="1">
        <v>6555</v>
      </c>
      <c r="AF90">
        <f t="shared" si="165"/>
        <v>1.1433804290947147</v>
      </c>
      <c r="AG90">
        <f t="shared" si="166"/>
        <v>0.11393659180977543</v>
      </c>
      <c r="AH90">
        <f t="shared" si="222"/>
        <v>6.0221391233873465E-3</v>
      </c>
      <c r="AI90">
        <v>28882</v>
      </c>
      <c r="AJ90">
        <f t="shared" si="167"/>
        <v>37835.42</v>
      </c>
      <c r="AK90">
        <f t="shared" si="267"/>
        <v>0.23258745523194554</v>
      </c>
      <c r="AL90">
        <f t="shared" si="168"/>
        <v>40.567501634999999</v>
      </c>
      <c r="AM90">
        <f t="shared" si="169"/>
        <v>5.7333443238535174E-3</v>
      </c>
      <c r="AN90">
        <v>43.88</v>
      </c>
      <c r="AO90">
        <f t="shared" si="170"/>
        <v>43880</v>
      </c>
      <c r="AP90">
        <f t="shared" si="171"/>
        <v>56166.400000000001</v>
      </c>
      <c r="AQ90">
        <f t="shared" si="268"/>
        <v>0.3359535843526632</v>
      </c>
      <c r="AR90">
        <f t="shared" si="172"/>
        <v>51.759606732800002</v>
      </c>
      <c r="AS90">
        <f t="shared" si="173"/>
        <v>6.4906517950757501E-3</v>
      </c>
      <c r="AT90" s="1">
        <v>7754</v>
      </c>
      <c r="AU90" s="1">
        <f t="shared" si="237"/>
        <v>4.3447564829549278E-2</v>
      </c>
      <c r="AV90" s="1">
        <f t="shared" si="238"/>
        <v>0.18150396861266213</v>
      </c>
      <c r="AW90" s="1">
        <v>56408</v>
      </c>
      <c r="AX90" s="1">
        <f t="shared" si="174"/>
        <v>68817.759999999995</v>
      </c>
      <c r="AY90" s="1">
        <f t="shared" si="269"/>
        <v>0.38560279714010354</v>
      </c>
      <c r="AZ90" s="1">
        <f t="shared" si="239"/>
        <v>4.4918432867559241E-2</v>
      </c>
      <c r="BA90" s="1">
        <f t="shared" si="175"/>
        <v>60.4858519474</v>
      </c>
      <c r="BB90" s="1">
        <v>6346</v>
      </c>
      <c r="BC90" s="1">
        <f t="shared" si="176"/>
        <v>7742.12</v>
      </c>
      <c r="BD90" s="1">
        <f t="shared" si="177"/>
        <v>0.99846788754191385</v>
      </c>
      <c r="BE90" s="1">
        <f t="shared" si="178"/>
        <v>0.11250177279818466</v>
      </c>
      <c r="BF90" s="1">
        <f t="shared" si="179"/>
        <v>6.375090781153803E-3</v>
      </c>
      <c r="BG90" s="1">
        <v>2110</v>
      </c>
      <c r="BH90" s="1">
        <f t="shared" si="240"/>
        <v>1.3534143243832664E-2</v>
      </c>
      <c r="BI90" s="1">
        <v>53712.307999999997</v>
      </c>
      <c r="BJ90" s="1">
        <f t="shared" si="270"/>
        <v>0.34452609972931714</v>
      </c>
      <c r="BK90" s="1">
        <v>101.2013381</v>
      </c>
      <c r="BL90" s="1">
        <v>3732.5569999999998</v>
      </c>
      <c r="BM90">
        <f t="shared" si="271"/>
        <v>1.7689843601895734</v>
      </c>
      <c r="BN90">
        <f t="shared" si="272"/>
        <v>6.949165170858046E-2</v>
      </c>
      <c r="BO90">
        <f t="shared" si="180"/>
        <v>3.404363086473035E-3</v>
      </c>
      <c r="BP90">
        <v>27045</v>
      </c>
      <c r="BQ90">
        <f t="shared" si="181"/>
        <v>35428.950000000004</v>
      </c>
      <c r="BR90">
        <f t="shared" si="273"/>
        <v>0.21779404912222036</v>
      </c>
      <c r="BS90">
        <f t="shared" si="182"/>
        <v>59.525235619600004</v>
      </c>
      <c r="BT90">
        <f t="shared" si="183"/>
        <v>3.6588523649708467E-3</v>
      </c>
      <c r="BU90">
        <v>52.42</v>
      </c>
      <c r="BV90">
        <f t="shared" si="184"/>
        <v>52420</v>
      </c>
      <c r="BW90">
        <f t="shared" si="185"/>
        <v>67097.600000000006</v>
      </c>
      <c r="BX90">
        <f t="shared" si="274"/>
        <v>0.40133744055985887</v>
      </c>
      <c r="BY90">
        <f t="shared" si="186"/>
        <v>76.247206297600002</v>
      </c>
      <c r="BZ90">
        <f t="shared" si="187"/>
        <v>5.2636346962458029E-3</v>
      </c>
      <c r="CA90" s="1">
        <v>2366</v>
      </c>
      <c r="CB90" s="1">
        <f t="shared" si="241"/>
        <v>1.3257278615774257E-2</v>
      </c>
      <c r="CC90" s="1">
        <f t="shared" si="242"/>
        <v>-2.0456753196000859E-2</v>
      </c>
      <c r="CD90" s="1">
        <v>67461</v>
      </c>
      <c r="CE90" s="1">
        <f t="shared" si="188"/>
        <v>82302.42</v>
      </c>
      <c r="CF90">
        <f t="shared" si="275"/>
        <v>0.46116065625210123</v>
      </c>
      <c r="CG90">
        <f t="shared" si="243"/>
        <v>0.33853619976663607</v>
      </c>
      <c r="CH90">
        <f t="shared" si="189"/>
        <v>90.917938902799989</v>
      </c>
      <c r="CI90" s="1">
        <v>3491</v>
      </c>
      <c r="CJ90" s="1">
        <f t="shared" si="190"/>
        <v>4259.0199999999995</v>
      </c>
      <c r="CK90">
        <f t="shared" si="191"/>
        <v>1.8000929839391375</v>
      </c>
      <c r="CL90">
        <f t="shared" si="192"/>
        <v>5.1748417604245409E-2</v>
      </c>
      <c r="CM90">
        <f t="shared" si="193"/>
        <v>5.0722735448845389E-3</v>
      </c>
      <c r="CN90" s="1">
        <v>15865</v>
      </c>
      <c r="CO90" s="1">
        <f t="shared" si="244"/>
        <v>0.10176264576464703</v>
      </c>
      <c r="CP90" s="1">
        <v>68995325</v>
      </c>
      <c r="CQ90" s="1">
        <f t="shared" si="276"/>
        <v>442.55574014444971</v>
      </c>
      <c r="CR90" s="1">
        <v>108123.0123</v>
      </c>
      <c r="CS90" s="1">
        <v>14626599</v>
      </c>
      <c r="CT90">
        <f t="shared" si="194"/>
        <v>921.94131736526947</v>
      </c>
      <c r="CU90">
        <f t="shared" si="195"/>
        <v>0.21199405901776677</v>
      </c>
      <c r="CV90">
        <f t="shared" si="196"/>
        <v>4.0930763093847853E-3</v>
      </c>
      <c r="CW90" s="1">
        <v>14893</v>
      </c>
      <c r="CX90" s="1">
        <f t="shared" si="245"/>
        <v>8.3449133738261197E-2</v>
      </c>
      <c r="CY90" s="1">
        <f t="shared" si="246"/>
        <v>-0.17996300989206451</v>
      </c>
      <c r="CZ90" s="1">
        <v>60753291</v>
      </c>
      <c r="DA90" s="1">
        <f t="shared" si="261"/>
        <v>74119015.019999996</v>
      </c>
      <c r="DB90" s="1">
        <f t="shared" si="277"/>
        <v>415.30702994374337</v>
      </c>
      <c r="DC90" s="1">
        <f t="shared" si="247"/>
        <v>-6.1571250192828574E-2</v>
      </c>
      <c r="DD90" s="1">
        <f t="shared" si="197"/>
        <v>93954.54819500001</v>
      </c>
      <c r="DE90" s="1">
        <v>11834043</v>
      </c>
      <c r="DF90" s="1">
        <f t="shared" si="262"/>
        <v>14437532.459999999</v>
      </c>
      <c r="DG90">
        <f t="shared" si="263"/>
        <v>969.41734103269982</v>
      </c>
      <c r="DH90">
        <f t="shared" si="264"/>
        <v>0.19478850948173326</v>
      </c>
      <c r="DI90">
        <f t="shared" si="201"/>
        <v>4.4202972386369775E-3</v>
      </c>
      <c r="DJ90" s="1">
        <v>2346394</v>
      </c>
      <c r="DK90">
        <f t="shared" si="278"/>
        <v>15.050441944298342</v>
      </c>
      <c r="DL90">
        <v>1889.3069949999999</v>
      </c>
      <c r="DM90" s="1">
        <v>303936</v>
      </c>
      <c r="DN90" s="3">
        <f t="shared" si="202"/>
        <v>7.9661177268326062E-3</v>
      </c>
      <c r="DO90" s="1">
        <v>1975461</v>
      </c>
      <c r="DP90" s="1">
        <f t="shared" si="203"/>
        <v>2410062.42</v>
      </c>
      <c r="DQ90" s="3">
        <f t="shared" si="279"/>
        <v>13.50417116794047</v>
      </c>
      <c r="DR90" s="3">
        <f t="shared" si="204"/>
        <v>1905.8896083399998</v>
      </c>
      <c r="DS90" s="3">
        <f t="shared" si="205"/>
        <v>300045.60239959502</v>
      </c>
      <c r="DT90" s="3">
        <f t="shared" si="206"/>
        <v>7.0854949357231625E-3</v>
      </c>
      <c r="DU90" s="3">
        <f t="shared" si="207"/>
        <v>0.98719994472387296</v>
      </c>
      <c r="DV90" s="3">
        <f t="shared" si="208"/>
        <v>316.17826400978907</v>
      </c>
      <c r="DW90" s="3">
        <f t="shared" si="209"/>
        <v>0.12574350040338098</v>
      </c>
      <c r="DX90" s="3">
        <f t="shared" si="210"/>
        <v>71452963.307999998</v>
      </c>
      <c r="DY90" s="3">
        <f t="shared" si="248"/>
        <v>458.31973488473528</v>
      </c>
      <c r="DZ90" s="3">
        <f t="shared" si="211"/>
        <v>71341719</v>
      </c>
      <c r="EA90" s="3">
        <f t="shared" si="212"/>
        <v>73264.37</v>
      </c>
      <c r="EB90" s="3">
        <f t="shared" si="249"/>
        <v>0.45038150435416585</v>
      </c>
      <c r="EC90" s="3">
        <f t="shared" si="213"/>
        <v>123264</v>
      </c>
      <c r="ED90" s="3">
        <f t="shared" si="250"/>
        <v>0.73729102491252207</v>
      </c>
      <c r="EE90" s="9">
        <f t="shared" si="214"/>
        <v>76680197.620000005</v>
      </c>
      <c r="EF90" s="13">
        <f t="shared" si="251"/>
        <v>429.6579645650761</v>
      </c>
      <c r="EG90" s="14">
        <f t="shared" si="252"/>
        <v>-6.2536627027128672E-2</v>
      </c>
      <c r="EH90" s="9">
        <f t="shared" si="215"/>
        <v>76529077.439999998</v>
      </c>
      <c r="EI90" s="10">
        <v>210133</v>
      </c>
      <c r="EJ90" s="10">
        <f t="shared" si="280"/>
        <v>275274.23000000004</v>
      </c>
      <c r="EK90" s="10">
        <f t="shared" si="253"/>
        <v>1.6922062090663537</v>
      </c>
      <c r="EL90" s="10">
        <v>163000</v>
      </c>
      <c r="EM90" s="10">
        <f t="shared" si="281"/>
        <v>208640</v>
      </c>
      <c r="EN90" s="10">
        <f t="shared" si="254"/>
        <v>1.2479588479827737</v>
      </c>
      <c r="EO90" s="11">
        <v>1633718</v>
      </c>
      <c r="EP90" s="11">
        <f t="shared" si="282"/>
        <v>1993135.96</v>
      </c>
      <c r="EQ90" s="11">
        <f t="shared" si="255"/>
        <v>11.168029898917453</v>
      </c>
      <c r="ER90" s="10">
        <f t="shared" si="256"/>
        <v>14.108194955966582</v>
      </c>
      <c r="ES90" s="10">
        <f t="shared" si="216"/>
        <v>9.5529906058282208</v>
      </c>
      <c r="ET90" s="12">
        <v>202336</v>
      </c>
      <c r="EU90" s="12">
        <f t="shared" si="283"/>
        <v>265060.16000000003</v>
      </c>
      <c r="EV90" s="12">
        <f t="shared" si="257"/>
        <v>1.6294167766017222</v>
      </c>
      <c r="EW90" s="10">
        <v>39000</v>
      </c>
      <c r="EX90" s="10">
        <f t="shared" si="284"/>
        <v>49920</v>
      </c>
      <c r="EY90" s="10">
        <f t="shared" si="258"/>
        <v>0.29859138080569431</v>
      </c>
      <c r="EZ90" s="3">
        <f t="shared" si="217"/>
        <v>372566.63362730062</v>
      </c>
      <c r="FA90" s="3">
        <f t="shared" si="259"/>
        <v>2.0875822759671236</v>
      </c>
      <c r="FB90" s="3">
        <f t="shared" si="260"/>
        <v>4.0155904333745402</v>
      </c>
      <c r="FC90" s="1">
        <f t="shared" si="218"/>
        <v>0.20430000000000001</v>
      </c>
      <c r="FD90">
        <f>2.12/10</f>
        <v>0.21200000000000002</v>
      </c>
      <c r="FE90">
        <f>3.1</f>
        <v>3.1</v>
      </c>
      <c r="FF90" s="7">
        <f t="shared" si="219"/>
        <v>10.32</v>
      </c>
      <c r="FG90" s="1">
        <f t="shared" si="220"/>
        <v>1.444</v>
      </c>
      <c r="FH90">
        <v>2.63E-2</v>
      </c>
      <c r="FI90">
        <v>3.4000000000000002E-2</v>
      </c>
      <c r="FJ90">
        <v>4.41E-2</v>
      </c>
      <c r="FK90">
        <v>4.0899999999999999E-2</v>
      </c>
      <c r="FL90" s="1">
        <f t="shared" si="221"/>
        <v>2.5666666666666672E-3</v>
      </c>
    </row>
    <row r="91" spans="1:168">
      <c r="A91" t="s">
        <v>135</v>
      </c>
      <c r="B91" s="1" t="s">
        <v>94</v>
      </c>
      <c r="C91" s="1">
        <v>306482</v>
      </c>
      <c r="D91" s="6">
        <f t="shared" si="285"/>
        <v>322012.40000000002</v>
      </c>
      <c r="E91" s="6">
        <f t="shared" si="286"/>
        <v>332366</v>
      </c>
      <c r="F91" s="1">
        <v>358250</v>
      </c>
      <c r="G91" s="1">
        <f t="shared" si="265"/>
        <v>5176.8</v>
      </c>
      <c r="H91" s="1">
        <v>1.31</v>
      </c>
      <c r="I91" s="1">
        <v>1.28</v>
      </c>
      <c r="J91" s="1">
        <v>1.22</v>
      </c>
      <c r="K91">
        <v>137620</v>
      </c>
      <c r="L91">
        <f t="shared" si="225"/>
        <v>0.44903126447882746</v>
      </c>
      <c r="M91" s="1">
        <v>140558</v>
      </c>
      <c r="N91">
        <f t="shared" si="226"/>
        <v>0.39234612700628052</v>
      </c>
      <c r="O91">
        <f t="shared" si="227"/>
        <v>-0.12623873203648547</v>
      </c>
      <c r="P91">
        <f t="shared" si="228"/>
        <v>0.10616187645497388</v>
      </c>
      <c r="Q91">
        <f t="shared" si="229"/>
        <v>9.4388056019381494E-2</v>
      </c>
      <c r="R91">
        <f t="shared" si="230"/>
        <v>464.8116309574396</v>
      </c>
      <c r="S91">
        <f t="shared" si="231"/>
        <v>444.83793965824134</v>
      </c>
      <c r="T91">
        <f t="shared" si="232"/>
        <v>628.11915497484358</v>
      </c>
      <c r="U91">
        <v>92297.113769999996</v>
      </c>
      <c r="V91">
        <f t="shared" si="233"/>
        <v>6.8054040838166031E-3</v>
      </c>
      <c r="W91">
        <f t="shared" si="234"/>
        <v>576.64845900907187</v>
      </c>
      <c r="X91">
        <v>79429.064259999999</v>
      </c>
      <c r="Y91">
        <f t="shared" si="235"/>
        <v>7.2599175677242438E-3</v>
      </c>
      <c r="Z91" s="1">
        <v>15671</v>
      </c>
      <c r="AA91" s="1">
        <f t="shared" si="236"/>
        <v>5.1131877239120077E-2</v>
      </c>
      <c r="AB91" s="1">
        <v>156486</v>
      </c>
      <c r="AC91" s="1">
        <f t="shared" si="266"/>
        <v>0.51058789749479583</v>
      </c>
      <c r="AD91" s="1">
        <v>61.278341249999997</v>
      </c>
      <c r="AE91" s="1">
        <v>18528</v>
      </c>
      <c r="AF91">
        <f t="shared" si="165"/>
        <v>1.1823112756046199</v>
      </c>
      <c r="AG91">
        <f t="shared" si="166"/>
        <v>0.11840036808404586</v>
      </c>
      <c r="AH91">
        <f t="shared" si="222"/>
        <v>8.3322734767203883E-3</v>
      </c>
      <c r="AI91">
        <v>17545</v>
      </c>
      <c r="AJ91">
        <f t="shared" si="167"/>
        <v>22983.95</v>
      </c>
      <c r="AK91">
        <f t="shared" si="267"/>
        <v>7.1375978067925325E-2</v>
      </c>
      <c r="AL91">
        <f t="shared" si="168"/>
        <v>40.567501634999999</v>
      </c>
      <c r="AM91">
        <f t="shared" si="169"/>
        <v>1.7594373622048496E-3</v>
      </c>
      <c r="AN91">
        <v>105.62</v>
      </c>
      <c r="AO91">
        <f t="shared" si="170"/>
        <v>105620</v>
      </c>
      <c r="AP91">
        <f t="shared" si="171"/>
        <v>135193.60000000001</v>
      </c>
      <c r="AQ91">
        <f t="shared" si="268"/>
        <v>0.40676122106352636</v>
      </c>
      <c r="AR91">
        <f t="shared" si="172"/>
        <v>51.759606732800002</v>
      </c>
      <c r="AS91">
        <f t="shared" si="173"/>
        <v>7.8586613527293712E-3</v>
      </c>
      <c r="AT91" s="1">
        <v>17726</v>
      </c>
      <c r="AU91" s="1">
        <f t="shared" si="237"/>
        <v>4.9479413817166785E-2</v>
      </c>
      <c r="AV91" s="1">
        <f t="shared" si="238"/>
        <v>-3.2317675610177315E-2</v>
      </c>
      <c r="AW91" s="1">
        <v>140595</v>
      </c>
      <c r="AX91" s="1">
        <f t="shared" si="174"/>
        <v>171525.9</v>
      </c>
      <c r="AY91" s="1">
        <f t="shared" si="269"/>
        <v>0.47878827634333565</v>
      </c>
      <c r="AZ91" s="1">
        <f t="shared" si="239"/>
        <v>-6.2280405210317968E-2</v>
      </c>
      <c r="BA91" s="1">
        <f t="shared" si="175"/>
        <v>60.4858519474</v>
      </c>
      <c r="BB91" s="1">
        <v>15555</v>
      </c>
      <c r="BC91" s="1">
        <f t="shared" si="176"/>
        <v>18977.099999999999</v>
      </c>
      <c r="BD91" s="1">
        <f t="shared" si="177"/>
        <v>1.0705799390725488</v>
      </c>
      <c r="BE91" s="1">
        <f t="shared" si="178"/>
        <v>0.11063693587965433</v>
      </c>
      <c r="BF91" s="1">
        <f t="shared" si="179"/>
        <v>7.9157069120841979E-3</v>
      </c>
      <c r="BG91" s="1">
        <v>9521</v>
      </c>
      <c r="BH91" s="1">
        <f t="shared" si="240"/>
        <v>3.1065445931571838E-2</v>
      </c>
      <c r="BI91" s="1">
        <v>656083.85499999998</v>
      </c>
      <c r="BJ91" s="1">
        <f t="shared" si="270"/>
        <v>2.140692944446982</v>
      </c>
      <c r="BK91" s="1">
        <v>101.2013381</v>
      </c>
      <c r="BL91" s="1">
        <v>17189.455000000002</v>
      </c>
      <c r="BM91">
        <f t="shared" si="271"/>
        <v>1.8054253754857685</v>
      </c>
      <c r="BN91">
        <f t="shared" si="272"/>
        <v>2.6200088401809554E-2</v>
      </c>
      <c r="BO91">
        <f t="shared" si="180"/>
        <v>2.1152812646920743E-2</v>
      </c>
      <c r="BP91">
        <v>179500</v>
      </c>
      <c r="BQ91">
        <f t="shared" si="181"/>
        <v>235145</v>
      </c>
      <c r="BR91">
        <f t="shared" si="273"/>
        <v>0.73023585427145032</v>
      </c>
      <c r="BS91">
        <f t="shared" si="182"/>
        <v>59.525235619600004</v>
      </c>
      <c r="BT91">
        <f t="shared" si="183"/>
        <v>1.2267668437939017E-2</v>
      </c>
      <c r="BU91">
        <v>387.05</v>
      </c>
      <c r="BV91">
        <f t="shared" si="184"/>
        <v>387050</v>
      </c>
      <c r="BW91">
        <f t="shared" si="185"/>
        <v>495424</v>
      </c>
      <c r="BX91">
        <f t="shared" si="274"/>
        <v>1.4905977145676754</v>
      </c>
      <c r="BY91">
        <f t="shared" si="186"/>
        <v>76.247206297600002</v>
      </c>
      <c r="BZ91">
        <f t="shared" si="187"/>
        <v>1.9549538756210065E-2</v>
      </c>
      <c r="CA91" s="1">
        <v>8993</v>
      </c>
      <c r="CB91" s="1">
        <f t="shared" si="241"/>
        <v>2.5102581995812979E-2</v>
      </c>
      <c r="CC91" s="1">
        <f t="shared" si="242"/>
        <v>-0.19194522264039979</v>
      </c>
      <c r="CD91" s="1">
        <v>435232</v>
      </c>
      <c r="CE91" s="1">
        <f t="shared" si="188"/>
        <v>530983.04</v>
      </c>
      <c r="CF91">
        <f t="shared" si="275"/>
        <v>1.4821578227494767</v>
      </c>
      <c r="CG91">
        <f t="shared" si="243"/>
        <v>-0.30762708094393643</v>
      </c>
      <c r="CH91">
        <f t="shared" si="189"/>
        <v>90.917938902799989</v>
      </c>
      <c r="CI91" s="1">
        <v>13732</v>
      </c>
      <c r="CJ91" s="1">
        <f t="shared" si="190"/>
        <v>16753.04</v>
      </c>
      <c r="CK91">
        <f t="shared" si="191"/>
        <v>1.862897809407317</v>
      </c>
      <c r="CL91">
        <f t="shared" si="192"/>
        <v>3.1550988897875158E-2</v>
      </c>
      <c r="CM91">
        <f t="shared" si="193"/>
        <v>1.6302149395775963E-2</v>
      </c>
      <c r="CN91" s="1">
        <v>19521</v>
      </c>
      <c r="CO91" s="1">
        <f t="shared" si="244"/>
        <v>6.3693789521081179E-2</v>
      </c>
      <c r="CP91" s="1">
        <v>191694645</v>
      </c>
      <c r="CQ91" s="1">
        <f t="shared" si="276"/>
        <v>625.46787413290178</v>
      </c>
      <c r="CR91" s="1">
        <v>108123.0123</v>
      </c>
      <c r="CS91" s="1">
        <v>20747405</v>
      </c>
      <c r="CT91">
        <f t="shared" si="194"/>
        <v>1062.8249065109369</v>
      </c>
      <c r="CU91">
        <f t="shared" si="195"/>
        <v>0.10823153145462149</v>
      </c>
      <c r="CV91">
        <f t="shared" si="196"/>
        <v>5.7847803240763185E-3</v>
      </c>
      <c r="CW91" s="1">
        <v>18225</v>
      </c>
      <c r="CX91" s="1">
        <f t="shared" si="245"/>
        <v>5.0872295882763437E-2</v>
      </c>
      <c r="CY91" s="1">
        <f t="shared" si="246"/>
        <v>-0.20129896077346948</v>
      </c>
      <c r="CZ91" s="1">
        <v>168755575</v>
      </c>
      <c r="DA91" s="1">
        <f t="shared" si="261"/>
        <v>205881801.5</v>
      </c>
      <c r="DB91" s="1">
        <f t="shared" si="277"/>
        <v>574.68751290997909</v>
      </c>
      <c r="DC91" s="1">
        <f t="shared" si="247"/>
        <v>-8.1187800881572833E-2</v>
      </c>
      <c r="DD91" s="1">
        <f t="shared" si="197"/>
        <v>93954.54819500001</v>
      </c>
      <c r="DE91" s="1">
        <v>16358251</v>
      </c>
      <c r="DF91" s="1">
        <f t="shared" si="262"/>
        <v>19957066.219999999</v>
      </c>
      <c r="DG91">
        <f t="shared" si="263"/>
        <v>1095.0379270233195</v>
      </c>
      <c r="DH91">
        <f t="shared" si="264"/>
        <v>9.6934581272352036E-2</v>
      </c>
      <c r="DI91">
        <f t="shared" si="201"/>
        <v>6.1166545308400759E-3</v>
      </c>
      <c r="DJ91" s="1">
        <v>6665842</v>
      </c>
      <c r="DK91">
        <f t="shared" si="278"/>
        <v>21.749538308938209</v>
      </c>
      <c r="DL91">
        <v>1889.3069949999999</v>
      </c>
      <c r="DM91" s="1">
        <v>361463</v>
      </c>
      <c r="DN91" s="3">
        <f t="shared" si="202"/>
        <v>1.1511913292280067E-2</v>
      </c>
      <c r="DO91" s="1">
        <v>4287366</v>
      </c>
      <c r="DP91" s="1">
        <f t="shared" si="203"/>
        <v>5230586.5199999996</v>
      </c>
      <c r="DQ91" s="3">
        <f t="shared" si="279"/>
        <v>14.600381074668526</v>
      </c>
      <c r="DR91" s="3">
        <f t="shared" si="204"/>
        <v>1905.8896083399998</v>
      </c>
      <c r="DS91" s="3">
        <f t="shared" si="205"/>
        <v>347717.53697366553</v>
      </c>
      <c r="DT91" s="3">
        <f t="shared" si="206"/>
        <v>7.6606646107825896E-3</v>
      </c>
      <c r="DU91" s="3">
        <f t="shared" si="207"/>
        <v>0.96197269699434107</v>
      </c>
      <c r="DV91" s="3">
        <f t="shared" si="208"/>
        <v>360.63067465563785</v>
      </c>
      <c r="DW91" s="3">
        <f t="shared" si="209"/>
        <v>8.1992415665059742E-2</v>
      </c>
      <c r="DX91" s="3">
        <f t="shared" si="210"/>
        <v>199173056.85499999</v>
      </c>
      <c r="DY91" s="3">
        <f t="shared" si="248"/>
        <v>649.86869328378168</v>
      </c>
      <c r="DZ91" s="3">
        <f t="shared" si="211"/>
        <v>198360487</v>
      </c>
      <c r="EA91" s="3">
        <f t="shared" si="212"/>
        <v>258128.95</v>
      </c>
      <c r="EB91" s="3">
        <f t="shared" si="249"/>
        <v>0.80161183233937572</v>
      </c>
      <c r="EC91" s="3">
        <f t="shared" si="213"/>
        <v>630617.59999999998</v>
      </c>
      <c r="ED91" s="3">
        <f t="shared" si="250"/>
        <v>1.8973589356312017</v>
      </c>
      <c r="EE91" s="9">
        <f t="shared" si="214"/>
        <v>211814896.96000001</v>
      </c>
      <c r="EF91" s="13">
        <f t="shared" si="251"/>
        <v>591.24884008374045</v>
      </c>
      <c r="EG91" s="14">
        <f t="shared" si="252"/>
        <v>-9.020261139805881E-2</v>
      </c>
      <c r="EH91" s="9">
        <f t="shared" si="215"/>
        <v>211112388.02000001</v>
      </c>
      <c r="EI91" s="10">
        <v>404147</v>
      </c>
      <c r="EJ91" s="10">
        <f t="shared" si="280"/>
        <v>529432.57000000007</v>
      </c>
      <c r="EK91" s="10">
        <f t="shared" si="253"/>
        <v>1.6441372133495482</v>
      </c>
      <c r="EL91" s="10">
        <v>335000</v>
      </c>
      <c r="EM91" s="10">
        <f t="shared" si="281"/>
        <v>428800</v>
      </c>
      <c r="EN91" s="10">
        <f t="shared" si="254"/>
        <v>1.2901439978818532</v>
      </c>
      <c r="EO91" s="11">
        <v>2471158</v>
      </c>
      <c r="EP91" s="11">
        <f t="shared" si="282"/>
        <v>3014812.76</v>
      </c>
      <c r="EQ91" s="11">
        <f t="shared" si="255"/>
        <v>8.4153880251221214</v>
      </c>
      <c r="ER91" s="10">
        <f t="shared" si="256"/>
        <v>11.349669236353524</v>
      </c>
      <c r="ES91" s="10">
        <f t="shared" si="216"/>
        <v>7.0308133395522381</v>
      </c>
      <c r="ET91" s="12">
        <v>1519992</v>
      </c>
      <c r="EU91" s="12">
        <f t="shared" si="283"/>
        <v>1991189.52</v>
      </c>
      <c r="EV91" s="12">
        <f t="shared" si="257"/>
        <v>6.1835802596421745</v>
      </c>
      <c r="EW91" s="10">
        <v>450000</v>
      </c>
      <c r="EX91" s="10">
        <f t="shared" si="284"/>
        <v>576000</v>
      </c>
      <c r="EY91" s="10">
        <f t="shared" si="258"/>
        <v>1.7330292508860714</v>
      </c>
      <c r="EZ91" s="3">
        <f t="shared" si="217"/>
        <v>3163866.002798507</v>
      </c>
      <c r="FA91" s="3">
        <f t="shared" si="259"/>
        <v>8.8314473211402849</v>
      </c>
      <c r="FB91" s="3">
        <f t="shared" si="260"/>
        <v>16.748056831668531</v>
      </c>
      <c r="FC91" s="1">
        <f t="shared" si="218"/>
        <v>0.32130000000000003</v>
      </c>
      <c r="FD91">
        <f>3.29/10</f>
        <v>0.32900000000000001</v>
      </c>
      <c r="FE91">
        <f>3.9</f>
        <v>3.9</v>
      </c>
      <c r="FF91" s="7">
        <f t="shared" si="219"/>
        <v>12.827499999999999</v>
      </c>
      <c r="FG91" s="1">
        <f t="shared" si="220"/>
        <v>1.7854999999999999</v>
      </c>
      <c r="FH91">
        <v>2.63E-2</v>
      </c>
      <c r="FI91">
        <v>3.4000000000000002E-2</v>
      </c>
      <c r="FJ91">
        <v>4.41E-2</v>
      </c>
      <c r="FK91">
        <v>4.0899999999999999E-2</v>
      </c>
      <c r="FL91" s="1">
        <f t="shared" si="221"/>
        <v>2.5666666666666672E-3</v>
      </c>
    </row>
    <row r="92" spans="1:168">
      <c r="A92" t="s">
        <v>131</v>
      </c>
      <c r="B92" s="1" t="s">
        <v>84</v>
      </c>
      <c r="C92" s="1">
        <v>292533</v>
      </c>
      <c r="D92" s="6">
        <f t="shared" si="285"/>
        <v>306225.90000000002</v>
      </c>
      <c r="E92" s="6">
        <f t="shared" si="286"/>
        <v>315354.5</v>
      </c>
      <c r="F92" s="1">
        <v>338176</v>
      </c>
      <c r="G92" s="1">
        <f t="shared" si="265"/>
        <v>4564.3</v>
      </c>
      <c r="H92" s="1">
        <v>1.31</v>
      </c>
      <c r="I92" s="1">
        <v>1.28</v>
      </c>
      <c r="J92" s="1">
        <v>1.22</v>
      </c>
      <c r="K92">
        <v>120198</v>
      </c>
      <c r="L92">
        <f t="shared" si="225"/>
        <v>0.41088697685389342</v>
      </c>
      <c r="M92" s="1">
        <v>119108</v>
      </c>
      <c r="N92">
        <f t="shared" si="226"/>
        <v>0.35220713474640425</v>
      </c>
      <c r="O92">
        <f t="shared" si="227"/>
        <v>-0.1428126112849642</v>
      </c>
      <c r="P92">
        <f t="shared" si="228"/>
        <v>0.14766086718526106</v>
      </c>
      <c r="Q92">
        <f t="shared" si="229"/>
        <v>0.10844662909784175</v>
      </c>
      <c r="R92">
        <f t="shared" si="230"/>
        <v>329.23388712282502</v>
      </c>
      <c r="S92">
        <f t="shared" si="231"/>
        <v>259.31591347168484</v>
      </c>
      <c r="T92">
        <f t="shared" si="232"/>
        <v>208.73207871590554</v>
      </c>
      <c r="U92">
        <v>92297.113769999996</v>
      </c>
      <c r="V92">
        <f t="shared" si="233"/>
        <v>2.2615233585316212E-3</v>
      </c>
      <c r="W92">
        <f t="shared" si="234"/>
        <v>197.28823121688117</v>
      </c>
      <c r="X92">
        <v>79429.064259999999</v>
      </c>
      <c r="Y92">
        <f t="shared" si="235"/>
        <v>2.4838292261770271E-3</v>
      </c>
      <c r="Z92" s="1">
        <v>13130</v>
      </c>
      <c r="AA92" s="1">
        <f t="shared" si="236"/>
        <v>4.4883825072726841E-2</v>
      </c>
      <c r="AB92" s="1">
        <v>123097</v>
      </c>
      <c r="AC92" s="1">
        <f t="shared" si="266"/>
        <v>0.42079696991450538</v>
      </c>
      <c r="AD92" s="1">
        <v>61.278341249999997</v>
      </c>
      <c r="AE92" s="1">
        <v>14744</v>
      </c>
      <c r="AF92">
        <f t="shared" si="165"/>
        <v>1.122924600152323</v>
      </c>
      <c r="AG92">
        <f t="shared" si="166"/>
        <v>0.11977546162782196</v>
      </c>
      <c r="AH92">
        <f t="shared" si="222"/>
        <v>6.8669771624163441E-3</v>
      </c>
      <c r="AI92">
        <v>63649</v>
      </c>
      <c r="AJ92">
        <f t="shared" si="167"/>
        <v>83380.19</v>
      </c>
      <c r="AK92">
        <f t="shared" si="267"/>
        <v>0.2722832719244192</v>
      </c>
      <c r="AL92">
        <f t="shared" si="168"/>
        <v>40.567501634999999</v>
      </c>
      <c r="AM92">
        <f t="shared" si="169"/>
        <v>6.7118570518403383E-3</v>
      </c>
      <c r="AN92">
        <v>83.25</v>
      </c>
      <c r="AO92">
        <f t="shared" si="170"/>
        <v>83250</v>
      </c>
      <c r="AP92">
        <f t="shared" si="171"/>
        <v>106560</v>
      </c>
      <c r="AQ92">
        <f t="shared" si="268"/>
        <v>0.33790543658010269</v>
      </c>
      <c r="AR92">
        <f t="shared" si="172"/>
        <v>51.759606732800002</v>
      </c>
      <c r="AS92">
        <f t="shared" si="173"/>
        <v>6.5283617459553148E-3</v>
      </c>
      <c r="AT92" s="1">
        <v>15807</v>
      </c>
      <c r="AU92" s="1">
        <f t="shared" si="237"/>
        <v>4.6741933194549584E-2</v>
      </c>
      <c r="AV92" s="1">
        <f t="shared" si="238"/>
        <v>4.1398167799023049E-2</v>
      </c>
      <c r="AW92" s="1">
        <v>110282</v>
      </c>
      <c r="AX92" s="1">
        <f t="shared" si="174"/>
        <v>134544.04</v>
      </c>
      <c r="AY92" s="1">
        <f t="shared" si="269"/>
        <v>0.39785212433762301</v>
      </c>
      <c r="AZ92" s="1">
        <f t="shared" si="239"/>
        <v>-5.4527116917082702E-2</v>
      </c>
      <c r="BA92" s="1">
        <f t="shared" si="175"/>
        <v>60.4858519474</v>
      </c>
      <c r="BB92" s="1">
        <v>12995</v>
      </c>
      <c r="BC92" s="1">
        <f t="shared" si="176"/>
        <v>15853.9</v>
      </c>
      <c r="BD92" s="1">
        <f t="shared" si="177"/>
        <v>1.0029670399190231</v>
      </c>
      <c r="BE92" s="1">
        <f t="shared" si="178"/>
        <v>0.11783427939282928</v>
      </c>
      <c r="BF92" s="1">
        <f t="shared" si="179"/>
        <v>6.577606357989387E-3</v>
      </c>
      <c r="BG92" s="1">
        <v>4717</v>
      </c>
      <c r="BH92" s="1">
        <f t="shared" si="240"/>
        <v>1.6124676532220297E-2</v>
      </c>
      <c r="BI92" s="1">
        <v>133886.18299999999</v>
      </c>
      <c r="BJ92" s="1">
        <f t="shared" si="270"/>
        <v>0.45767890460221577</v>
      </c>
      <c r="BK92" s="1">
        <v>101.2013381</v>
      </c>
      <c r="BL92" s="1">
        <v>7445.5529999999999</v>
      </c>
      <c r="BM92">
        <f t="shared" si="271"/>
        <v>1.5784509221963112</v>
      </c>
      <c r="BN92">
        <f t="shared" si="272"/>
        <v>5.5611063316369252E-2</v>
      </c>
      <c r="BO92">
        <f t="shared" si="180"/>
        <v>4.5224590227252717E-3</v>
      </c>
      <c r="BP92">
        <v>60297</v>
      </c>
      <c r="BQ92">
        <f t="shared" si="181"/>
        <v>78989.070000000007</v>
      </c>
      <c r="BR92">
        <f t="shared" si="273"/>
        <v>0.25794379247477106</v>
      </c>
      <c r="BS92">
        <f t="shared" si="182"/>
        <v>59.525235619600004</v>
      </c>
      <c r="BT92">
        <f t="shared" si="183"/>
        <v>4.333351893357938E-3</v>
      </c>
      <c r="BU92">
        <v>86.78</v>
      </c>
      <c r="BV92">
        <f t="shared" si="184"/>
        <v>86780</v>
      </c>
      <c r="BW92">
        <f t="shared" si="185"/>
        <v>111078.40000000001</v>
      </c>
      <c r="BX92">
        <f t="shared" si="274"/>
        <v>0.35223343887593173</v>
      </c>
      <c r="BY92">
        <f t="shared" si="186"/>
        <v>76.247206297600002</v>
      </c>
      <c r="BZ92">
        <f t="shared" si="187"/>
        <v>4.6196241931951128E-3</v>
      </c>
      <c r="CA92" s="1">
        <v>5796</v>
      </c>
      <c r="CB92" s="1">
        <f t="shared" si="241"/>
        <v>1.7139004542013628E-2</v>
      </c>
      <c r="CC92" s="1">
        <f t="shared" si="242"/>
        <v>6.2905324504742968E-2</v>
      </c>
      <c r="CD92" s="1">
        <v>124667</v>
      </c>
      <c r="CE92" s="1">
        <f t="shared" si="188"/>
        <v>152093.74</v>
      </c>
      <c r="CF92">
        <f t="shared" si="275"/>
        <v>0.44974729135124902</v>
      </c>
      <c r="CG92">
        <f t="shared" si="243"/>
        <v>-1.733008266540138E-2</v>
      </c>
      <c r="CH92">
        <f t="shared" si="189"/>
        <v>90.917938902799989</v>
      </c>
      <c r="CI92" s="1">
        <v>6747</v>
      </c>
      <c r="CJ92" s="1">
        <f t="shared" si="190"/>
        <v>8231.34</v>
      </c>
      <c r="CK92">
        <f t="shared" si="191"/>
        <v>1.420175983436853</v>
      </c>
      <c r="CL92">
        <f t="shared" si="192"/>
        <v>5.4120176149261637E-2</v>
      </c>
      <c r="CM92">
        <f t="shared" si="193"/>
        <v>4.9467387490170897E-3</v>
      </c>
      <c r="CN92" s="1">
        <v>9395</v>
      </c>
      <c r="CO92" s="1">
        <f t="shared" si="244"/>
        <v>3.2116034772145363E-2</v>
      </c>
      <c r="CP92" s="1">
        <v>60804038</v>
      </c>
      <c r="CQ92" s="1">
        <f t="shared" si="276"/>
        <v>207.85360284138883</v>
      </c>
      <c r="CR92" s="1">
        <v>108123.0123</v>
      </c>
      <c r="CS92" s="1">
        <v>8946800</v>
      </c>
      <c r="CT92">
        <f t="shared" si="194"/>
        <v>952.29377328366149</v>
      </c>
      <c r="CU92">
        <f t="shared" si="195"/>
        <v>0.14714154346130762</v>
      </c>
      <c r="CV92">
        <f t="shared" si="196"/>
        <v>1.9223807996088251E-3</v>
      </c>
      <c r="CW92" s="1">
        <v>6827</v>
      </c>
      <c r="CX92" s="1">
        <f t="shared" si="245"/>
        <v>2.018771290688872E-2</v>
      </c>
      <c r="CY92" s="1">
        <f t="shared" si="246"/>
        <v>-0.37141328155498898</v>
      </c>
      <c r="CZ92" s="1">
        <v>54452055</v>
      </c>
      <c r="DA92" s="1">
        <f t="shared" si="261"/>
        <v>66431507.100000001</v>
      </c>
      <c r="DB92" s="1">
        <f t="shared" si="277"/>
        <v>196.4406318011923</v>
      </c>
      <c r="DC92" s="1">
        <f t="shared" si="247"/>
        <v>-5.4908699604815946E-2</v>
      </c>
      <c r="DD92" s="1">
        <f t="shared" si="197"/>
        <v>93954.54819500001</v>
      </c>
      <c r="DE92" s="1">
        <v>6023169</v>
      </c>
      <c r="DF92" s="1">
        <f t="shared" si="262"/>
        <v>7348266.1799999997</v>
      </c>
      <c r="DG92">
        <f t="shared" si="263"/>
        <v>1076.3536223817196</v>
      </c>
      <c r="DH92">
        <f t="shared" si="264"/>
        <v>0.1106141724127767</v>
      </c>
      <c r="DI92">
        <f t="shared" si="201"/>
        <v>2.0908049219020811E-3</v>
      </c>
      <c r="DJ92" s="1">
        <v>3779493</v>
      </c>
      <c r="DK92">
        <f t="shared" si="278"/>
        <v>12.919885961583821</v>
      </c>
      <c r="DL92">
        <v>1889.3069949999999</v>
      </c>
      <c r="DM92" s="1">
        <v>605417</v>
      </c>
      <c r="DN92" s="3">
        <f t="shared" si="202"/>
        <v>6.8384259391279191E-3</v>
      </c>
      <c r="DO92" s="1">
        <v>1035438</v>
      </c>
      <c r="DP92" s="1">
        <f t="shared" si="203"/>
        <v>1263234.3599999999</v>
      </c>
      <c r="DQ92" s="3">
        <f t="shared" si="279"/>
        <v>3.7354346848978044</v>
      </c>
      <c r="DR92" s="3">
        <f t="shared" si="204"/>
        <v>1905.8896083399998</v>
      </c>
      <c r="DS92" s="3">
        <f t="shared" si="205"/>
        <v>497642.1093220266</v>
      </c>
      <c r="DT92" s="3">
        <f t="shared" si="206"/>
        <v>1.9599428364328562E-3</v>
      </c>
      <c r="DU92" s="3">
        <f t="shared" si="207"/>
        <v>0.8219823845746429</v>
      </c>
      <c r="DV92" s="3">
        <f t="shared" si="208"/>
        <v>338.9619857018476</v>
      </c>
      <c r="DW92" s="3">
        <f t="shared" si="209"/>
        <v>0.10084944939339441</v>
      </c>
      <c r="DX92" s="3">
        <f t="shared" si="210"/>
        <v>64840514.182999998</v>
      </c>
      <c r="DY92" s="3">
        <f t="shared" si="248"/>
        <v>221.65196467748936</v>
      </c>
      <c r="DZ92" s="3">
        <f t="shared" si="211"/>
        <v>64583531</v>
      </c>
      <c r="EA92" s="3">
        <f t="shared" si="212"/>
        <v>162369.26</v>
      </c>
      <c r="EB92" s="3">
        <f t="shared" si="249"/>
        <v>0.53022706439919021</v>
      </c>
      <c r="EC92" s="3">
        <f t="shared" si="213"/>
        <v>217638.40000000002</v>
      </c>
      <c r="ED92" s="3">
        <f t="shared" si="250"/>
        <v>0.69013887545603447</v>
      </c>
      <c r="EE92" s="9">
        <f t="shared" si="214"/>
        <v>67981379.24000001</v>
      </c>
      <c r="EF92" s="13">
        <f t="shared" si="251"/>
        <v>201.023665901779</v>
      </c>
      <c r="EG92" s="14">
        <f t="shared" si="252"/>
        <v>-9.3066167068382138E-2</v>
      </c>
      <c r="EH92" s="9">
        <f t="shared" si="215"/>
        <v>67694741.460000008</v>
      </c>
      <c r="EI92" s="10">
        <v>542191</v>
      </c>
      <c r="EJ92" s="10">
        <f t="shared" si="280"/>
        <v>710270.21000000008</v>
      </c>
      <c r="EK92" s="10">
        <f t="shared" si="253"/>
        <v>2.3194321904189033</v>
      </c>
      <c r="EL92" s="10">
        <v>192000</v>
      </c>
      <c r="EM92" s="10">
        <f t="shared" si="281"/>
        <v>245760</v>
      </c>
      <c r="EN92" s="10">
        <f t="shared" si="254"/>
        <v>0.77931343931987651</v>
      </c>
      <c r="EO92" s="11">
        <v>2933677</v>
      </c>
      <c r="EP92" s="11">
        <f t="shared" si="282"/>
        <v>3579085.94</v>
      </c>
      <c r="EQ92" s="11">
        <f t="shared" si="255"/>
        <v>10.583500721517789</v>
      </c>
      <c r="ER92" s="10">
        <f t="shared" si="256"/>
        <v>13.682246351256568</v>
      </c>
      <c r="ES92" s="10">
        <f t="shared" si="216"/>
        <v>14.563337972005208</v>
      </c>
      <c r="ET92" s="12">
        <v>543596</v>
      </c>
      <c r="EU92" s="12">
        <f t="shared" si="283"/>
        <v>712110.76</v>
      </c>
      <c r="EV92" s="12">
        <f t="shared" si="257"/>
        <v>2.3254426225867895</v>
      </c>
      <c r="EW92" s="10">
        <v>105000</v>
      </c>
      <c r="EX92" s="10">
        <f t="shared" si="284"/>
        <v>134400</v>
      </c>
      <c r="EY92" s="10">
        <f t="shared" si="258"/>
        <v>0.42618703712805744</v>
      </c>
      <c r="EZ92" s="3">
        <f t="shared" si="217"/>
        <v>1529150.4870605469</v>
      </c>
      <c r="FA92" s="3">
        <f t="shared" si="259"/>
        <v>4.5217593414687824</v>
      </c>
      <c r="FB92" s="3">
        <f t="shared" si="260"/>
        <v>7.2733890011836291</v>
      </c>
      <c r="FC92" s="1">
        <f t="shared" si="218"/>
        <v>0.30230000000000001</v>
      </c>
      <c r="FD92">
        <f>3.1/10</f>
        <v>0.31</v>
      </c>
      <c r="FE92">
        <f>3.5</f>
        <v>3.5</v>
      </c>
      <c r="FF92" s="7">
        <f t="shared" si="219"/>
        <v>11.475</v>
      </c>
      <c r="FG92" s="1">
        <f t="shared" si="220"/>
        <v>1.595</v>
      </c>
      <c r="FH92">
        <v>2.63E-2</v>
      </c>
      <c r="FI92">
        <v>3.4000000000000002E-2</v>
      </c>
      <c r="FJ92">
        <v>4.41E-2</v>
      </c>
      <c r="FK92">
        <v>4.0899999999999999E-2</v>
      </c>
      <c r="FL92" s="1">
        <f t="shared" si="221"/>
        <v>2.5666666666666672E-3</v>
      </c>
    </row>
    <row r="93" spans="1:168">
      <c r="A93" t="s">
        <v>131</v>
      </c>
      <c r="B93" s="1" t="s">
        <v>85</v>
      </c>
      <c r="C93" s="1">
        <v>325691</v>
      </c>
      <c r="D93" s="6">
        <f t="shared" si="285"/>
        <v>347552.9</v>
      </c>
      <c r="E93" s="6">
        <f t="shared" si="286"/>
        <v>362127.5</v>
      </c>
      <c r="F93" s="1">
        <v>398564</v>
      </c>
      <c r="G93" s="1">
        <f t="shared" si="265"/>
        <v>7287.3</v>
      </c>
      <c r="H93" s="1">
        <v>1.31</v>
      </c>
      <c r="I93" s="1">
        <v>1.28</v>
      </c>
      <c r="J93" s="1">
        <v>1.22</v>
      </c>
      <c r="K93">
        <v>146259</v>
      </c>
      <c r="L93">
        <f t="shared" si="225"/>
        <v>0.44907289424638691</v>
      </c>
      <c r="M93" s="1">
        <v>162019</v>
      </c>
      <c r="N93">
        <f t="shared" si="226"/>
        <v>0.40650685962605754</v>
      </c>
      <c r="O93">
        <f t="shared" si="227"/>
        <v>-9.4786470449884752E-2</v>
      </c>
      <c r="P93">
        <f t="shared" si="228"/>
        <v>9.4787818563532425E-2</v>
      </c>
      <c r="Q93">
        <f t="shared" si="229"/>
        <v>9.6677484082170501E-2</v>
      </c>
      <c r="R93">
        <f t="shared" si="230"/>
        <v>349.94667165051601</v>
      </c>
      <c r="S93">
        <f t="shared" si="231"/>
        <v>361.52794395903521</v>
      </c>
      <c r="T93">
        <f t="shared" si="232"/>
        <v>519.30837955301195</v>
      </c>
      <c r="U93">
        <v>92297.113769999996</v>
      </c>
      <c r="V93">
        <f t="shared" si="233"/>
        <v>5.6264855783800961E-3</v>
      </c>
      <c r="W93">
        <f t="shared" si="234"/>
        <v>479.39199094750148</v>
      </c>
      <c r="X93">
        <v>79429.064259999999</v>
      </c>
      <c r="Y93">
        <f t="shared" si="235"/>
        <v>6.0354732290220422E-3</v>
      </c>
      <c r="Z93" s="1">
        <v>17825</v>
      </c>
      <c r="AA93" s="1">
        <f t="shared" si="236"/>
        <v>5.4729789892873922E-2</v>
      </c>
      <c r="AB93" s="1">
        <v>186447</v>
      </c>
      <c r="AC93" s="1">
        <f t="shared" si="266"/>
        <v>0.57246592629209891</v>
      </c>
      <c r="AD93" s="1">
        <v>61.278341249999997</v>
      </c>
      <c r="AE93" s="1">
        <v>23171</v>
      </c>
      <c r="AF93">
        <f t="shared" si="165"/>
        <v>1.2999158485273492</v>
      </c>
      <c r="AG93">
        <f t="shared" si="166"/>
        <v>0.12427660407515273</v>
      </c>
      <c r="AH93">
        <f t="shared" si="222"/>
        <v>9.342059765563562E-3</v>
      </c>
      <c r="AI93">
        <v>92662</v>
      </c>
      <c r="AJ93">
        <f t="shared" si="167"/>
        <v>121387.22</v>
      </c>
      <c r="AK93">
        <f t="shared" si="267"/>
        <v>0.34926257269037314</v>
      </c>
      <c r="AL93">
        <f t="shared" si="168"/>
        <v>40.567501634999999</v>
      </c>
      <c r="AM93">
        <f t="shared" si="169"/>
        <v>8.6094178496080604E-3</v>
      </c>
      <c r="AN93">
        <v>130.53</v>
      </c>
      <c r="AO93">
        <f t="shared" si="170"/>
        <v>130530</v>
      </c>
      <c r="AP93">
        <f t="shared" si="171"/>
        <v>167078.39999999999</v>
      </c>
      <c r="AQ93">
        <f t="shared" si="268"/>
        <v>0.46138003879848949</v>
      </c>
      <c r="AR93">
        <f t="shared" si="172"/>
        <v>51.759606732800002</v>
      </c>
      <c r="AS93">
        <f t="shared" si="173"/>
        <v>8.9139015522332696E-3</v>
      </c>
      <c r="AT93" s="1">
        <v>23039</v>
      </c>
      <c r="AU93" s="1">
        <f t="shared" si="237"/>
        <v>5.7805020021878546E-2</v>
      </c>
      <c r="AV93" s="1">
        <f t="shared" si="238"/>
        <v>5.618932824379496E-2</v>
      </c>
      <c r="AW93" s="1">
        <v>188536</v>
      </c>
      <c r="AX93" s="1">
        <f t="shared" si="174"/>
        <v>230013.91999999998</v>
      </c>
      <c r="AY93" s="1">
        <f t="shared" si="269"/>
        <v>0.57710661273973562</v>
      </c>
      <c r="AZ93" s="1">
        <f t="shared" si="239"/>
        <v>8.106485005482781E-3</v>
      </c>
      <c r="BA93" s="1">
        <f t="shared" si="175"/>
        <v>60.4858519474</v>
      </c>
      <c r="BB93" s="1">
        <v>22761</v>
      </c>
      <c r="BC93" s="1">
        <f t="shared" si="176"/>
        <v>27768.42</v>
      </c>
      <c r="BD93" s="1">
        <f t="shared" si="177"/>
        <v>1.2052788749511696</v>
      </c>
      <c r="BE93" s="1">
        <f t="shared" si="178"/>
        <v>0.12072495438536937</v>
      </c>
      <c r="BF93" s="1">
        <f t="shared" si="179"/>
        <v>9.5411835025751464E-3</v>
      </c>
      <c r="BG93" s="1">
        <v>12799</v>
      </c>
      <c r="BH93" s="1">
        <f t="shared" si="240"/>
        <v>3.9297984899797661E-2</v>
      </c>
      <c r="BI93" s="1">
        <v>735816.44499999995</v>
      </c>
      <c r="BJ93" s="1">
        <f t="shared" si="270"/>
        <v>2.259247093103586</v>
      </c>
      <c r="BK93" s="1">
        <v>101.2013381</v>
      </c>
      <c r="BL93" s="1">
        <v>24618.115000000002</v>
      </c>
      <c r="BM93">
        <f t="shared" si="271"/>
        <v>1.9234405031643098</v>
      </c>
      <c r="BN93">
        <f t="shared" si="272"/>
        <v>3.3456869803990319E-2</v>
      </c>
      <c r="BO93">
        <f t="shared" si="180"/>
        <v>2.232428083975686E-2</v>
      </c>
      <c r="BP93">
        <v>321573</v>
      </c>
      <c r="BQ93">
        <f t="shared" si="181"/>
        <v>421260.63</v>
      </c>
      <c r="BR93">
        <f t="shared" si="273"/>
        <v>1.2120762911199991</v>
      </c>
      <c r="BS93">
        <f t="shared" si="182"/>
        <v>59.525235619600004</v>
      </c>
      <c r="BT93">
        <f t="shared" si="183"/>
        <v>2.0362393840250438E-2</v>
      </c>
      <c r="BU93">
        <v>410.96</v>
      </c>
      <c r="BV93">
        <f t="shared" si="184"/>
        <v>410960</v>
      </c>
      <c r="BW93">
        <f t="shared" si="185"/>
        <v>526028.80000000005</v>
      </c>
      <c r="BX93">
        <f t="shared" si="274"/>
        <v>1.4526066095505037</v>
      </c>
      <c r="BY93">
        <f t="shared" si="186"/>
        <v>76.247206297600002</v>
      </c>
      <c r="BZ93">
        <f t="shared" si="187"/>
        <v>1.905127650029358E-2</v>
      </c>
      <c r="CA93" s="1">
        <v>13155</v>
      </c>
      <c r="CB93" s="1">
        <f t="shared" si="241"/>
        <v>3.3005991509519175E-2</v>
      </c>
      <c r="CC93" s="1">
        <f t="shared" si="242"/>
        <v>-0.16010982258560749</v>
      </c>
      <c r="CD93" s="1">
        <v>479834</v>
      </c>
      <c r="CE93" s="1">
        <f t="shared" si="188"/>
        <v>585397.48</v>
      </c>
      <c r="CF93">
        <f t="shared" si="275"/>
        <v>1.4687665719934564</v>
      </c>
      <c r="CG93">
        <f t="shared" si="243"/>
        <v>-0.34988670496604518</v>
      </c>
      <c r="CH93">
        <f t="shared" si="189"/>
        <v>90.917938902799989</v>
      </c>
      <c r="CI93" s="1">
        <v>21890</v>
      </c>
      <c r="CJ93" s="1">
        <f t="shared" si="190"/>
        <v>26705.8</v>
      </c>
      <c r="CK93">
        <f t="shared" si="191"/>
        <v>2.0300874192322311</v>
      </c>
      <c r="CL93">
        <f t="shared" si="192"/>
        <v>4.5619943563815817E-2</v>
      </c>
      <c r="CM93">
        <f t="shared" si="193"/>
        <v>1.6154859972834501E-2</v>
      </c>
      <c r="CN93" s="1">
        <v>13853</v>
      </c>
      <c r="CO93" s="1">
        <f t="shared" si="244"/>
        <v>4.2534181171724118E-2</v>
      </c>
      <c r="CP93" s="1">
        <v>168211802</v>
      </c>
      <c r="CQ93" s="1">
        <f t="shared" si="276"/>
        <v>516.47666653361625</v>
      </c>
      <c r="CR93" s="1">
        <v>108123.0123</v>
      </c>
      <c r="CS93" s="1">
        <v>15516789</v>
      </c>
      <c r="CT93">
        <f t="shared" si="194"/>
        <v>1120.1031545513606</v>
      </c>
      <c r="CU93">
        <f t="shared" si="195"/>
        <v>9.2245542913808154E-2</v>
      </c>
      <c r="CV93">
        <f t="shared" si="196"/>
        <v>4.776750624562614E-3</v>
      </c>
      <c r="CW93" s="1">
        <v>16339</v>
      </c>
      <c r="CX93" s="1">
        <f t="shared" si="245"/>
        <v>4.0994670868417619E-2</v>
      </c>
      <c r="CY93" s="1">
        <f t="shared" si="246"/>
        <v>-3.619466182012538E-2</v>
      </c>
      <c r="CZ93" s="1">
        <v>155945064</v>
      </c>
      <c r="DA93" s="1">
        <f t="shared" si="261"/>
        <v>190252978.07999998</v>
      </c>
      <c r="DB93" s="1">
        <f t="shared" si="277"/>
        <v>477.3461177627683</v>
      </c>
      <c r="DC93" s="1">
        <f t="shared" si="247"/>
        <v>-7.5764407777560341E-2</v>
      </c>
      <c r="DD93" s="1">
        <f t="shared" si="197"/>
        <v>93954.54819500001</v>
      </c>
      <c r="DE93" s="1">
        <v>15522683</v>
      </c>
      <c r="DF93" s="1">
        <f t="shared" si="262"/>
        <v>18937673.259999998</v>
      </c>
      <c r="DG93">
        <f t="shared" si="263"/>
        <v>1159.0472648264886</v>
      </c>
      <c r="DH93">
        <f t="shared" si="264"/>
        <v>9.9539431398739234E-2</v>
      </c>
      <c r="DI93">
        <f t="shared" si="201"/>
        <v>5.0806068139676421E-3</v>
      </c>
      <c r="DJ93" s="1">
        <v>6200723</v>
      </c>
      <c r="DK93">
        <f t="shared" si="278"/>
        <v>19.038668553936091</v>
      </c>
      <c r="DL93">
        <v>1889.3069949999999</v>
      </c>
      <c r="DM93" s="1">
        <v>1055024</v>
      </c>
      <c r="DN93" s="3">
        <f t="shared" si="202"/>
        <v>1.0077064555586475E-2</v>
      </c>
      <c r="DO93" s="1">
        <v>4409933</v>
      </c>
      <c r="DP93" s="1">
        <f t="shared" si="203"/>
        <v>5380118.2599999998</v>
      </c>
      <c r="DQ93" s="3">
        <f t="shared" si="279"/>
        <v>13.498756184703083</v>
      </c>
      <c r="DR93" s="3">
        <f t="shared" si="204"/>
        <v>1905.8896083399998</v>
      </c>
      <c r="DS93" s="3">
        <f t="shared" si="205"/>
        <v>1287357.1808303085</v>
      </c>
      <c r="DT93" s="3">
        <f t="shared" si="206"/>
        <v>7.0826537516306045E-3</v>
      </c>
      <c r="DU93" s="3">
        <f t="shared" si="207"/>
        <v>1.2202160148302867</v>
      </c>
      <c r="DV93" s="3">
        <f t="shared" si="208"/>
        <v>380.93485700395399</v>
      </c>
      <c r="DW93" s="3">
        <f t="shared" si="209"/>
        <v>8.5977224356812598E-2</v>
      </c>
      <c r="DX93" s="3">
        <f t="shared" si="210"/>
        <v>175334788.44499999</v>
      </c>
      <c r="DY93" s="3">
        <f t="shared" si="248"/>
        <v>538.34704810694802</v>
      </c>
      <c r="DZ93" s="3">
        <f t="shared" si="211"/>
        <v>174412525</v>
      </c>
      <c r="EA93" s="3">
        <f t="shared" si="212"/>
        <v>542647.85</v>
      </c>
      <c r="EB93" s="3">
        <f t="shared" si="249"/>
        <v>1.5613388638103722</v>
      </c>
      <c r="EC93" s="3">
        <f t="shared" si="213"/>
        <v>693107.20000000007</v>
      </c>
      <c r="ED93" s="3">
        <f t="shared" si="250"/>
        <v>1.9139866483489933</v>
      </c>
      <c r="EE93" s="9">
        <f t="shared" si="214"/>
        <v>196448507.73999998</v>
      </c>
      <c r="EF93" s="13">
        <f t="shared" si="251"/>
        <v>492.89074713220458</v>
      </c>
      <c r="EG93" s="14">
        <f t="shared" si="252"/>
        <v>-8.4436798036855013E-2</v>
      </c>
      <c r="EH93" s="9">
        <f t="shared" si="215"/>
        <v>195633096.33999997</v>
      </c>
      <c r="EI93" s="10">
        <v>423783</v>
      </c>
      <c r="EJ93" s="10">
        <f t="shared" si="280"/>
        <v>555155.73</v>
      </c>
      <c r="EK93" s="10">
        <f t="shared" si="253"/>
        <v>1.597327284565889</v>
      </c>
      <c r="EL93" s="10">
        <v>146000</v>
      </c>
      <c r="EM93" s="10">
        <f t="shared" si="281"/>
        <v>186880</v>
      </c>
      <c r="EN93" s="10">
        <f t="shared" si="254"/>
        <v>0.51606133198942361</v>
      </c>
      <c r="EO93" s="11">
        <v>2557901</v>
      </c>
      <c r="EP93" s="11">
        <f t="shared" si="282"/>
        <v>3120639.2199999997</v>
      </c>
      <c r="EQ93" s="11">
        <f t="shared" si="255"/>
        <v>7.8297066970423819</v>
      </c>
      <c r="ER93" s="10">
        <f t="shared" si="256"/>
        <v>9.9430953135976949</v>
      </c>
      <c r="ES93" s="10">
        <f t="shared" si="216"/>
        <v>16.698625963184931</v>
      </c>
      <c r="ET93" s="12">
        <v>1846591</v>
      </c>
      <c r="EU93" s="12">
        <f t="shared" si="283"/>
        <v>2419034.21</v>
      </c>
      <c r="EV93" s="12">
        <f t="shared" si="257"/>
        <v>6.9601899739579203</v>
      </c>
      <c r="EW93" s="10">
        <v>408000</v>
      </c>
      <c r="EX93" s="10">
        <f t="shared" si="284"/>
        <v>522240</v>
      </c>
      <c r="EY93" s="10">
        <f t="shared" si="258"/>
        <v>1.4421439962444167</v>
      </c>
      <c r="EZ93" s="3">
        <f t="shared" si="217"/>
        <v>6813039.3929794515</v>
      </c>
      <c r="FA93" s="3">
        <f t="shared" si="259"/>
        <v>17.093965819741502</v>
      </c>
      <c r="FB93" s="3">
        <f t="shared" si="260"/>
        <v>25.496299789943841</v>
      </c>
      <c r="FC93" s="1">
        <f t="shared" si="218"/>
        <v>0.50029999999999997</v>
      </c>
      <c r="FD93">
        <f>5.08/10</f>
        <v>0.50800000000000001</v>
      </c>
      <c r="FE93">
        <f>6</f>
        <v>6</v>
      </c>
      <c r="FF93" s="7">
        <f t="shared" si="219"/>
        <v>19.73</v>
      </c>
      <c r="FG93" s="1">
        <f t="shared" si="220"/>
        <v>2.746</v>
      </c>
      <c r="FH93">
        <v>2.63E-2</v>
      </c>
      <c r="FI93">
        <v>3.4000000000000002E-2</v>
      </c>
      <c r="FJ93">
        <v>4.41E-2</v>
      </c>
      <c r="FK93">
        <v>4.0899999999999999E-2</v>
      </c>
      <c r="FL93" s="1">
        <f t="shared" si="221"/>
        <v>2.5666666666666672E-3</v>
      </c>
    </row>
    <row r="94" spans="1:168">
      <c r="A94" t="s">
        <v>131</v>
      </c>
      <c r="B94" s="1" t="s">
        <v>86</v>
      </c>
      <c r="C94" s="1">
        <v>131597</v>
      </c>
      <c r="D94" s="6">
        <f t="shared" si="285"/>
        <v>131438</v>
      </c>
      <c r="E94" s="6">
        <f t="shared" si="286"/>
        <v>131332</v>
      </c>
      <c r="F94" s="1">
        <v>131067</v>
      </c>
      <c r="G94" s="1">
        <f t="shared" si="265"/>
        <v>-53</v>
      </c>
      <c r="H94" s="1">
        <v>1.31</v>
      </c>
      <c r="I94" s="1">
        <v>1.28</v>
      </c>
      <c r="J94" s="1">
        <v>1.22</v>
      </c>
      <c r="K94">
        <v>51649</v>
      </c>
      <c r="L94">
        <f t="shared" si="225"/>
        <v>0.39247855194267345</v>
      </c>
      <c r="M94" s="1">
        <v>43627</v>
      </c>
      <c r="N94">
        <f t="shared" si="226"/>
        <v>0.33286029282733259</v>
      </c>
      <c r="O94">
        <f t="shared" si="227"/>
        <v>-0.15190195443864374</v>
      </c>
      <c r="P94">
        <f t="shared" si="228"/>
        <v>0.13297984471574648</v>
      </c>
      <c r="Q94">
        <f t="shared" si="229"/>
        <v>3.8386129262537878E-2</v>
      </c>
      <c r="R94">
        <f t="shared" si="230"/>
        <v>470.54904627636677</v>
      </c>
      <c r="S94">
        <f t="shared" si="231"/>
        <v>300.15696630245151</v>
      </c>
      <c r="T94">
        <f t="shared" si="232"/>
        <v>414.96778974444703</v>
      </c>
      <c r="U94">
        <v>92297.113769999996</v>
      </c>
      <c r="V94">
        <f t="shared" si="233"/>
        <v>4.4959996341654516E-3</v>
      </c>
      <c r="W94">
        <f t="shared" si="234"/>
        <v>613.23165449731823</v>
      </c>
      <c r="X94">
        <v>79429.064259999999</v>
      </c>
      <c r="Y94">
        <f t="shared" si="235"/>
        <v>7.7204945092893161E-3</v>
      </c>
      <c r="Z94" s="1">
        <v>5574</v>
      </c>
      <c r="AA94" s="1">
        <f t="shared" si="236"/>
        <v>4.2356588676033646E-2</v>
      </c>
      <c r="AB94" s="1">
        <v>58914</v>
      </c>
      <c r="AC94" s="1">
        <f t="shared" si="266"/>
        <v>0.4476849776210704</v>
      </c>
      <c r="AD94" s="1">
        <v>61.278341249999997</v>
      </c>
      <c r="AE94" s="1">
        <v>6791</v>
      </c>
      <c r="AF94">
        <f t="shared" si="165"/>
        <v>1.2183351273771079</v>
      </c>
      <c r="AG94">
        <f t="shared" si="166"/>
        <v>0.11526971517805615</v>
      </c>
      <c r="AH94">
        <f t="shared" si="222"/>
        <v>7.3057620113219108E-3</v>
      </c>
      <c r="AI94">
        <v>22804</v>
      </c>
      <c r="AJ94">
        <f t="shared" si="167"/>
        <v>29873.24</v>
      </c>
      <c r="AK94">
        <f t="shared" si="267"/>
        <v>0.2272800864285823</v>
      </c>
      <c r="AL94">
        <f t="shared" si="168"/>
        <v>40.567501634999999</v>
      </c>
      <c r="AM94">
        <f t="shared" si="169"/>
        <v>5.6025162326608308E-3</v>
      </c>
      <c r="AN94">
        <v>33.909999999999997</v>
      </c>
      <c r="AO94">
        <f t="shared" si="170"/>
        <v>33910</v>
      </c>
      <c r="AP94">
        <f t="shared" si="171"/>
        <v>43404.800000000003</v>
      </c>
      <c r="AQ94">
        <f t="shared" si="268"/>
        <v>0.33049675631224684</v>
      </c>
      <c r="AR94">
        <f t="shared" si="172"/>
        <v>51.759606732800002</v>
      </c>
      <c r="AS94">
        <f t="shared" si="173"/>
        <v>6.3852254136778719E-3</v>
      </c>
      <c r="AT94" s="1">
        <v>5694</v>
      </c>
      <c r="AU94" s="1">
        <f t="shared" si="237"/>
        <v>4.344342969626222E-2</v>
      </c>
      <c r="AV94" s="1">
        <f t="shared" si="238"/>
        <v>2.5659314269648303E-2</v>
      </c>
      <c r="AW94" s="1">
        <v>42480</v>
      </c>
      <c r="AX94" s="1">
        <f t="shared" si="174"/>
        <v>51825.599999999999</v>
      </c>
      <c r="AY94" s="1">
        <f t="shared" si="269"/>
        <v>0.39541303302890884</v>
      </c>
      <c r="AZ94" s="1">
        <f t="shared" si="239"/>
        <v>-0.1167605508452097</v>
      </c>
      <c r="BA94" s="1">
        <f t="shared" si="175"/>
        <v>60.4858519474</v>
      </c>
      <c r="BB94" s="1">
        <v>5039</v>
      </c>
      <c r="BC94" s="1">
        <f t="shared" si="176"/>
        <v>6147.58</v>
      </c>
      <c r="BD94" s="1">
        <f t="shared" si="177"/>
        <v>1.0796592904812083</v>
      </c>
      <c r="BE94" s="1">
        <f t="shared" si="178"/>
        <v>0.11862052730696798</v>
      </c>
      <c r="BF94" s="1">
        <f t="shared" si="179"/>
        <v>6.5372813690839611E-3</v>
      </c>
      <c r="BG94" s="1">
        <v>2140</v>
      </c>
      <c r="BH94" s="1">
        <f t="shared" si="240"/>
        <v>1.6261768885308937E-2</v>
      </c>
      <c r="BI94" s="1">
        <v>75413.226999999999</v>
      </c>
      <c r="BJ94" s="1">
        <f t="shared" si="270"/>
        <v>0.57306190110716804</v>
      </c>
      <c r="BK94" s="1">
        <v>101.2013381</v>
      </c>
      <c r="BL94" s="1">
        <v>3606.607</v>
      </c>
      <c r="BM94">
        <f t="shared" si="271"/>
        <v>1.6853303738317758</v>
      </c>
      <c r="BN94">
        <f t="shared" si="272"/>
        <v>4.782459448393582E-2</v>
      </c>
      <c r="BO94">
        <f t="shared" si="180"/>
        <v>5.6625921343145562E-3</v>
      </c>
      <c r="BP94">
        <v>30549</v>
      </c>
      <c r="BQ94">
        <f t="shared" si="181"/>
        <v>40019.19</v>
      </c>
      <c r="BR94">
        <f t="shared" si="273"/>
        <v>0.30447199440040174</v>
      </c>
      <c r="BS94">
        <f t="shared" si="182"/>
        <v>59.525235619600004</v>
      </c>
      <c r="BT94">
        <f t="shared" si="183"/>
        <v>5.1150069584965669E-3</v>
      </c>
      <c r="BU94">
        <v>41.94</v>
      </c>
      <c r="BV94">
        <f t="shared" si="184"/>
        <v>41940</v>
      </c>
      <c r="BW94">
        <f t="shared" si="185"/>
        <v>53683.200000000004</v>
      </c>
      <c r="BX94">
        <f t="shared" si="274"/>
        <v>0.40875947979167304</v>
      </c>
      <c r="BY94">
        <f t="shared" si="186"/>
        <v>76.247206297600002</v>
      </c>
      <c r="BZ94">
        <f t="shared" si="187"/>
        <v>5.36097648215787E-3</v>
      </c>
      <c r="CA94" s="1">
        <v>2116</v>
      </c>
      <c r="CB94" s="1">
        <f t="shared" si="241"/>
        <v>1.6144414688670679E-2</v>
      </c>
      <c r="CC94" s="1">
        <f t="shared" si="242"/>
        <v>-7.2165701939274837E-3</v>
      </c>
      <c r="CD94" s="1">
        <v>55055</v>
      </c>
      <c r="CE94" s="1">
        <f t="shared" si="188"/>
        <v>67167.099999999991</v>
      </c>
      <c r="CF94">
        <f t="shared" si="275"/>
        <v>0.51246385436456154</v>
      </c>
      <c r="CG94">
        <f t="shared" si="243"/>
        <v>-0.10574432993282183</v>
      </c>
      <c r="CH94">
        <f t="shared" si="189"/>
        <v>90.917938902799989</v>
      </c>
      <c r="CI94" s="1">
        <v>3183</v>
      </c>
      <c r="CJ94" s="1">
        <f t="shared" si="190"/>
        <v>3883.2599999999998</v>
      </c>
      <c r="CK94">
        <f t="shared" si="191"/>
        <v>1.8351890359168241</v>
      </c>
      <c r="CL94">
        <f t="shared" si="192"/>
        <v>5.7814912360366913E-2</v>
      </c>
      <c r="CM94">
        <f t="shared" si="193"/>
        <v>5.6365538038916025E-3</v>
      </c>
      <c r="CN94" s="1">
        <v>6224</v>
      </c>
      <c r="CO94" s="1">
        <f t="shared" si="244"/>
        <v>4.729591100101066E-2</v>
      </c>
      <c r="CP94" s="1">
        <v>54474189</v>
      </c>
      <c r="CQ94" s="1">
        <f t="shared" si="276"/>
        <v>413.9470428657188</v>
      </c>
      <c r="CR94" s="1">
        <v>108123.0123</v>
      </c>
      <c r="CS94" s="1">
        <v>6548115</v>
      </c>
      <c r="CT94">
        <f t="shared" si="194"/>
        <v>1052.0750321336761</v>
      </c>
      <c r="CU94">
        <f t="shared" si="195"/>
        <v>0.12020582812164492</v>
      </c>
      <c r="CV94">
        <f t="shared" si="196"/>
        <v>3.828482337480333E-3</v>
      </c>
      <c r="CW94" s="1">
        <v>3081</v>
      </c>
      <c r="CX94" s="1">
        <f t="shared" si="245"/>
        <v>2.3507061274004898E-2</v>
      </c>
      <c r="CY94" s="1">
        <f t="shared" si="246"/>
        <v>-0.50297899381824829</v>
      </c>
      <c r="CZ94" s="1">
        <v>65783148</v>
      </c>
      <c r="DA94" s="1">
        <f t="shared" si="261"/>
        <v>80255440.560000002</v>
      </c>
      <c r="DB94" s="1">
        <f t="shared" si="277"/>
        <v>612.32377760992472</v>
      </c>
      <c r="DC94" s="1">
        <f t="shared" si="247"/>
        <v>0.47923215822695897</v>
      </c>
      <c r="DD94" s="1">
        <f t="shared" si="197"/>
        <v>93954.54819500001</v>
      </c>
      <c r="DE94" s="1">
        <v>2671294</v>
      </c>
      <c r="DF94" s="1">
        <f t="shared" si="262"/>
        <v>3258978.6799999997</v>
      </c>
      <c r="DG94">
        <f t="shared" si="263"/>
        <v>1057.7665303472897</v>
      </c>
      <c r="DH94">
        <f t="shared" si="264"/>
        <v>4.0607573234409514E-2</v>
      </c>
      <c r="DI94">
        <f t="shared" si="201"/>
        <v>6.5172340176556862E-3</v>
      </c>
      <c r="DJ94" s="1">
        <v>4751311</v>
      </c>
      <c r="DK94">
        <f t="shared" si="278"/>
        <v>36.105009992629014</v>
      </c>
      <c r="DL94">
        <v>1889.3069949999999</v>
      </c>
      <c r="DM94" s="1">
        <v>1335148</v>
      </c>
      <c r="DN94" s="3">
        <f t="shared" si="202"/>
        <v>1.9110187009406067E-2</v>
      </c>
      <c r="DO94" s="1">
        <v>3923594</v>
      </c>
      <c r="DP94" s="1">
        <f t="shared" si="203"/>
        <v>4786784.68</v>
      </c>
      <c r="DQ94" s="3">
        <f t="shared" si="279"/>
        <v>36.521662050706887</v>
      </c>
      <c r="DR94" s="3">
        <f t="shared" si="204"/>
        <v>1905.8896083399998</v>
      </c>
      <c r="DS94" s="3">
        <f t="shared" si="205"/>
        <v>665488.01293002674</v>
      </c>
      <c r="DT94" s="3">
        <f t="shared" si="206"/>
        <v>1.9162527509931013E-2</v>
      </c>
      <c r="DU94" s="3">
        <f t="shared" si="207"/>
        <v>0.49843763607482222</v>
      </c>
      <c r="DV94" s="3">
        <f t="shared" si="208"/>
        <v>352.61001271809545</v>
      </c>
      <c r="DW94" s="3">
        <f t="shared" si="209"/>
        <v>8.3390525114230216E-2</v>
      </c>
      <c r="DX94" s="3">
        <f t="shared" si="210"/>
        <v>59359827.226999998</v>
      </c>
      <c r="DY94" s="3">
        <f t="shared" si="248"/>
        <v>451.07279973707608</v>
      </c>
      <c r="DZ94" s="3">
        <f t="shared" si="211"/>
        <v>59225500</v>
      </c>
      <c r="EA94" s="3">
        <f t="shared" si="212"/>
        <v>69892.430000000008</v>
      </c>
      <c r="EB94" s="3">
        <f t="shared" si="249"/>
        <v>0.53175208082898406</v>
      </c>
      <c r="EC94" s="3">
        <f t="shared" si="213"/>
        <v>97088</v>
      </c>
      <c r="ED94" s="3">
        <f t="shared" si="250"/>
        <v>0.73925623610391988</v>
      </c>
      <c r="EE94" s="9">
        <f t="shared" si="214"/>
        <v>85161217.939999998</v>
      </c>
      <c r="EF94" s="13">
        <f t="shared" si="251"/>
        <v>649.75331654802505</v>
      </c>
      <c r="EG94" s="14">
        <f t="shared" si="252"/>
        <v>0.44046219795730762</v>
      </c>
      <c r="EH94" s="9">
        <f t="shared" si="215"/>
        <v>85042225.24000001</v>
      </c>
      <c r="EI94" s="10">
        <v>329035</v>
      </c>
      <c r="EJ94" s="10">
        <f t="shared" si="280"/>
        <v>431035.85000000003</v>
      </c>
      <c r="EK94" s="10">
        <f t="shared" si="253"/>
        <v>3.2793853375736091</v>
      </c>
      <c r="EL94" s="10">
        <v>139000</v>
      </c>
      <c r="EM94" s="10">
        <f t="shared" si="281"/>
        <v>177920</v>
      </c>
      <c r="EN94" s="10">
        <f t="shared" si="254"/>
        <v>1.3547345658331558</v>
      </c>
      <c r="EO94" s="11">
        <v>932381</v>
      </c>
      <c r="EP94" s="11">
        <f t="shared" si="282"/>
        <v>1137504.82</v>
      </c>
      <c r="EQ94" s="11">
        <f t="shared" si="255"/>
        <v>8.678804123082088</v>
      </c>
      <c r="ER94" s="10">
        <f t="shared" si="256"/>
        <v>13.312924026488853</v>
      </c>
      <c r="ES94" s="10">
        <f t="shared" si="216"/>
        <v>6.3933499325539573</v>
      </c>
      <c r="ET94" s="12">
        <v>904479</v>
      </c>
      <c r="EU94" s="12">
        <f t="shared" si="283"/>
        <v>1184867.49</v>
      </c>
      <c r="EV94" s="12">
        <f t="shared" si="257"/>
        <v>9.0146494164549065</v>
      </c>
      <c r="EW94" s="10">
        <v>232000</v>
      </c>
      <c r="EX94" s="10">
        <f t="shared" si="284"/>
        <v>296960</v>
      </c>
      <c r="EY94" s="10">
        <f t="shared" si="258"/>
        <v>2.2611397070021018</v>
      </c>
      <c r="EZ94" s="3">
        <f t="shared" si="217"/>
        <v>1483257.1843525181</v>
      </c>
      <c r="FA94" s="3">
        <f t="shared" si="259"/>
        <v>11.316785951860636</v>
      </c>
      <c r="FB94" s="3">
        <f t="shared" si="260"/>
        <v>22.592575075317644</v>
      </c>
      <c r="FC94" s="1">
        <f t="shared" si="218"/>
        <v>0.28130000000000005</v>
      </c>
      <c r="FD94">
        <f>2.89/10</f>
        <v>0.28900000000000003</v>
      </c>
      <c r="FE94">
        <f>2.8</f>
        <v>2.8</v>
      </c>
      <c r="FF94" s="7">
        <f t="shared" si="219"/>
        <v>9.0774999999999988</v>
      </c>
      <c r="FG94" s="1">
        <f t="shared" si="220"/>
        <v>1.2554999999999998</v>
      </c>
      <c r="FH94">
        <v>2.63E-2</v>
      </c>
      <c r="FI94">
        <v>3.4000000000000002E-2</v>
      </c>
      <c r="FJ94">
        <v>4.41E-2</v>
      </c>
      <c r="FK94">
        <v>4.0899999999999999E-2</v>
      </c>
      <c r="FL94" s="1">
        <f t="shared" si="221"/>
        <v>2.5666666666666672E-3</v>
      </c>
    </row>
    <row r="95" spans="1:168">
      <c r="A95" t="s">
        <v>131</v>
      </c>
      <c r="B95" s="1" t="s">
        <v>87</v>
      </c>
      <c r="C95" s="1">
        <v>359328</v>
      </c>
      <c r="D95" s="6">
        <f t="shared" si="285"/>
        <v>410217.9</v>
      </c>
      <c r="E95" s="6">
        <f t="shared" si="286"/>
        <v>444144.5</v>
      </c>
      <c r="F95" s="1">
        <v>528961</v>
      </c>
      <c r="G95" s="1">
        <f t="shared" si="265"/>
        <v>16963.3</v>
      </c>
      <c r="H95" s="1">
        <v>1.31</v>
      </c>
      <c r="I95" s="1">
        <v>1.28</v>
      </c>
      <c r="J95" s="1">
        <v>1.22</v>
      </c>
      <c r="K95">
        <v>162520</v>
      </c>
      <c r="L95">
        <f t="shared" si="225"/>
        <v>0.45228871671564697</v>
      </c>
      <c r="M95" s="1">
        <v>211907</v>
      </c>
      <c r="N95">
        <f t="shared" si="226"/>
        <v>0.40060987483009142</v>
      </c>
      <c r="O95">
        <f t="shared" si="227"/>
        <v>-0.11426073650660168</v>
      </c>
      <c r="P95">
        <f t="shared" si="228"/>
        <v>9.9698806531597808E-2</v>
      </c>
      <c r="Q95">
        <f t="shared" si="229"/>
        <v>9.0297945614969746E-2</v>
      </c>
      <c r="R95">
        <f t="shared" si="230"/>
        <v>589.34350229381823</v>
      </c>
      <c r="S95">
        <f t="shared" si="231"/>
        <v>634.65560172162532</v>
      </c>
      <c r="T95">
        <f t="shared" si="232"/>
        <v>795.79239044828125</v>
      </c>
      <c r="U95">
        <v>92297.113769999996</v>
      </c>
      <c r="V95">
        <f t="shared" si="233"/>
        <v>8.6220723264582022E-3</v>
      </c>
      <c r="W95">
        <f t="shared" si="234"/>
        <v>779.1253308277926</v>
      </c>
      <c r="X95">
        <v>79429.064259999999</v>
      </c>
      <c r="Y95">
        <f t="shared" si="235"/>
        <v>9.8090710004770307E-3</v>
      </c>
      <c r="Z95" s="1">
        <v>18066</v>
      </c>
      <c r="AA95" s="1">
        <f t="shared" si="236"/>
        <v>5.0277184076943628E-2</v>
      </c>
      <c r="AB95" s="1">
        <v>197003</v>
      </c>
      <c r="AC95" s="1">
        <f t="shared" si="266"/>
        <v>0.54825396295306794</v>
      </c>
      <c r="AD95" s="1">
        <v>61.278341249999997</v>
      </c>
      <c r="AE95" s="1">
        <v>22923</v>
      </c>
      <c r="AF95">
        <f t="shared" si="165"/>
        <v>1.2688475589505148</v>
      </c>
      <c r="AG95">
        <f t="shared" si="166"/>
        <v>0.11635863413247514</v>
      </c>
      <c r="AH95">
        <f t="shared" si="222"/>
        <v>8.9469452300663891E-3</v>
      </c>
      <c r="AI95">
        <v>109792</v>
      </c>
      <c r="AJ95">
        <f t="shared" si="167"/>
        <v>143827.52000000002</v>
      </c>
      <c r="AK95">
        <f t="shared" si="267"/>
        <v>0.3506124915563168</v>
      </c>
      <c r="AL95">
        <f t="shared" si="168"/>
        <v>40.567501634999999</v>
      </c>
      <c r="AM95">
        <f t="shared" si="169"/>
        <v>8.6426937185065025E-3</v>
      </c>
      <c r="AN95">
        <v>124.66</v>
      </c>
      <c r="AO95">
        <f t="shared" si="170"/>
        <v>124660</v>
      </c>
      <c r="AP95">
        <f t="shared" si="171"/>
        <v>159564.80000000002</v>
      </c>
      <c r="AQ95">
        <f t="shared" si="268"/>
        <v>0.3592632577911018</v>
      </c>
      <c r="AR95">
        <f t="shared" si="172"/>
        <v>51.759606732800002</v>
      </c>
      <c r="AS95">
        <f t="shared" si="173"/>
        <v>6.9409966664881377E-3</v>
      </c>
      <c r="AT95" s="1">
        <v>25082</v>
      </c>
      <c r="AU95" s="1">
        <f t="shared" si="237"/>
        <v>4.741748446482822E-2</v>
      </c>
      <c r="AV95" s="1">
        <f t="shared" si="238"/>
        <v>-5.6878674981855698E-2</v>
      </c>
      <c r="AW95" s="1">
        <v>213998</v>
      </c>
      <c r="AX95" s="1">
        <f t="shared" si="174"/>
        <v>261077.56</v>
      </c>
      <c r="AY95" s="1">
        <f t="shared" si="269"/>
        <v>0.49356674688682151</v>
      </c>
      <c r="AZ95" s="1">
        <f t="shared" si="239"/>
        <v>-9.9747963100319276E-2</v>
      </c>
      <c r="BA95" s="1">
        <f t="shared" si="175"/>
        <v>60.4858519474</v>
      </c>
      <c r="BB95" s="1">
        <v>24402</v>
      </c>
      <c r="BC95" s="1">
        <f t="shared" si="176"/>
        <v>29770.44</v>
      </c>
      <c r="BD95" s="1">
        <f t="shared" si="177"/>
        <v>1.1869244876804081</v>
      </c>
      <c r="BE95" s="1">
        <f t="shared" si="178"/>
        <v>0.11402910307572968</v>
      </c>
      <c r="BF95" s="1">
        <f t="shared" si="179"/>
        <v>8.1600362894125953E-3</v>
      </c>
      <c r="BG95" s="1">
        <v>7540</v>
      </c>
      <c r="BH95" s="1">
        <f t="shared" si="240"/>
        <v>2.098361385697747E-2</v>
      </c>
      <c r="BI95" s="1">
        <v>526300.07499999995</v>
      </c>
      <c r="BJ95" s="1">
        <f t="shared" si="270"/>
        <v>1.4646787197212574</v>
      </c>
      <c r="BK95" s="1">
        <v>101.2013381</v>
      </c>
      <c r="BL95" s="1">
        <v>13889.769</v>
      </c>
      <c r="BM95">
        <f t="shared" si="271"/>
        <v>1.8421444297082228</v>
      </c>
      <c r="BN95">
        <f t="shared" si="272"/>
        <v>2.639134907970515E-2</v>
      </c>
      <c r="BO95">
        <f t="shared" si="180"/>
        <v>1.4472918512934736E-2</v>
      </c>
      <c r="BP95">
        <v>213102</v>
      </c>
      <c r="BQ95">
        <f t="shared" si="181"/>
        <v>279163.62</v>
      </c>
      <c r="BR95">
        <f t="shared" si="273"/>
        <v>0.68052520380022419</v>
      </c>
      <c r="BS95">
        <f t="shared" si="182"/>
        <v>59.525235619600004</v>
      </c>
      <c r="BT95">
        <f t="shared" si="183"/>
        <v>1.1432549518143296E-2</v>
      </c>
      <c r="BU95">
        <v>333.44</v>
      </c>
      <c r="BV95">
        <f t="shared" si="184"/>
        <v>333440</v>
      </c>
      <c r="BW95">
        <f t="shared" si="185"/>
        <v>426803.20000000001</v>
      </c>
      <c r="BX95">
        <f t="shared" si="274"/>
        <v>0.960955724994906</v>
      </c>
      <c r="BY95">
        <f t="shared" si="186"/>
        <v>76.247206297600002</v>
      </c>
      <c r="BZ95">
        <f t="shared" si="187"/>
        <v>1.2603159796362973E-2</v>
      </c>
      <c r="CA95" s="1">
        <v>11167</v>
      </c>
      <c r="CB95" s="1">
        <f t="shared" si="241"/>
        <v>2.1111197233822532E-2</v>
      </c>
      <c r="CC95" s="1">
        <f t="shared" si="242"/>
        <v>6.0801431876634842E-3</v>
      </c>
      <c r="CD95" s="1">
        <v>464645</v>
      </c>
      <c r="CE95" s="1">
        <f t="shared" si="188"/>
        <v>566866.9</v>
      </c>
      <c r="CF95">
        <f t="shared" si="275"/>
        <v>1.0716610487351621</v>
      </c>
      <c r="CG95">
        <f t="shared" si="243"/>
        <v>-0.2683302936639172</v>
      </c>
      <c r="CH95">
        <f t="shared" si="189"/>
        <v>90.917938902799989</v>
      </c>
      <c r="CI95" s="1">
        <v>19362</v>
      </c>
      <c r="CJ95" s="1">
        <f t="shared" si="190"/>
        <v>23621.64</v>
      </c>
      <c r="CK95">
        <f t="shared" si="191"/>
        <v>2.1153076027581266</v>
      </c>
      <c r="CL95">
        <f t="shared" si="192"/>
        <v>4.1670522657082286E-2</v>
      </c>
      <c r="CM95">
        <f t="shared" si="193"/>
        <v>1.1787124319666669E-2</v>
      </c>
      <c r="CN95" s="1">
        <v>22131</v>
      </c>
      <c r="CO95" s="1">
        <f t="shared" si="244"/>
        <v>6.1589967940154956E-2</v>
      </c>
      <c r="CP95" s="1">
        <v>285227185</v>
      </c>
      <c r="CQ95" s="1">
        <f t="shared" si="276"/>
        <v>793.77945776560694</v>
      </c>
      <c r="CR95" s="1">
        <v>108123.0123</v>
      </c>
      <c r="CS95" s="1">
        <v>28096678</v>
      </c>
      <c r="CT95">
        <f t="shared" si="194"/>
        <v>1269.5620622656004</v>
      </c>
      <c r="CU95">
        <f t="shared" si="195"/>
        <v>9.8506311731821769E-2</v>
      </c>
      <c r="CV95">
        <f t="shared" si="196"/>
        <v>7.3414478646152822E-3</v>
      </c>
      <c r="CW95" s="1">
        <v>22765</v>
      </c>
      <c r="CX95" s="1">
        <f t="shared" si="245"/>
        <v>4.3037199339837906E-2</v>
      </c>
      <c r="CY95" s="1">
        <f t="shared" si="246"/>
        <v>-0.30123036625614408</v>
      </c>
      <c r="CZ95" s="1">
        <v>337130303</v>
      </c>
      <c r="DA95" s="1">
        <f t="shared" si="261"/>
        <v>411298969.65999997</v>
      </c>
      <c r="DB95" s="1">
        <f t="shared" si="277"/>
        <v>777.56010303217056</v>
      </c>
      <c r="DC95" s="1">
        <f t="shared" si="247"/>
        <v>-2.0433074419804079E-2</v>
      </c>
      <c r="DD95" s="1">
        <f t="shared" si="197"/>
        <v>93954.54819500001</v>
      </c>
      <c r="DE95" s="1">
        <v>30655880</v>
      </c>
      <c r="DF95" s="1">
        <f t="shared" si="262"/>
        <v>37400173.600000001</v>
      </c>
      <c r="DG95">
        <f t="shared" si="263"/>
        <v>1642.8804568416429</v>
      </c>
      <c r="DH95">
        <f t="shared" si="264"/>
        <v>9.0931843643850679E-2</v>
      </c>
      <c r="DI95">
        <f t="shared" si="201"/>
        <v>8.2759176428411595E-3</v>
      </c>
      <c r="DJ95" s="1">
        <v>2049577</v>
      </c>
      <c r="DK95">
        <f t="shared" si="278"/>
        <v>5.7039167557217914</v>
      </c>
      <c r="DL95">
        <v>1889.3069949999999</v>
      </c>
      <c r="DM95" s="1">
        <v>579772</v>
      </c>
      <c r="DN95" s="3">
        <f t="shared" si="202"/>
        <v>3.019052367252677E-3</v>
      </c>
      <c r="DO95" s="1">
        <v>2172698</v>
      </c>
      <c r="DP95" s="1">
        <f t="shared" si="203"/>
        <v>2650691.56</v>
      </c>
      <c r="DQ95" s="3">
        <f t="shared" si="279"/>
        <v>5.0111285331054649</v>
      </c>
      <c r="DR95" s="3">
        <f t="shared" si="204"/>
        <v>1905.8896083399998</v>
      </c>
      <c r="DS95" s="3">
        <f t="shared" si="205"/>
        <v>771839.11728977377</v>
      </c>
      <c r="DT95" s="3">
        <f t="shared" si="206"/>
        <v>2.6292858259876237E-3</v>
      </c>
      <c r="DU95" s="3">
        <f t="shared" si="207"/>
        <v>1.3312804297030105</v>
      </c>
      <c r="DV95" s="3">
        <f t="shared" si="208"/>
        <v>486.4759571977234</v>
      </c>
      <c r="DW95" s="3">
        <f t="shared" si="209"/>
        <v>8.1314627386777458E-2</v>
      </c>
      <c r="DX95" s="3">
        <f t="shared" si="210"/>
        <v>288000065.07499999</v>
      </c>
      <c r="DY95" s="3">
        <f t="shared" si="248"/>
        <v>801.49630720400296</v>
      </c>
      <c r="DZ95" s="3">
        <f t="shared" si="211"/>
        <v>287276762</v>
      </c>
      <c r="EA95" s="3">
        <f t="shared" si="212"/>
        <v>422991.14</v>
      </c>
      <c r="EB95" s="3">
        <f t="shared" si="249"/>
        <v>1.031137695356541</v>
      </c>
      <c r="EC95" s="3">
        <f t="shared" si="213"/>
        <v>586368</v>
      </c>
      <c r="ED95" s="3">
        <f t="shared" si="250"/>
        <v>1.3202189827860078</v>
      </c>
      <c r="EE95" s="9">
        <f t="shared" si="214"/>
        <v>414777605.67999995</v>
      </c>
      <c r="EF95" s="13">
        <f t="shared" si="251"/>
        <v>784.13645936089802</v>
      </c>
      <c r="EG95" s="14">
        <f t="shared" si="252"/>
        <v>-2.1659298598223464E-2</v>
      </c>
      <c r="EH95" s="9">
        <f t="shared" si="215"/>
        <v>413949661.21999997</v>
      </c>
      <c r="EI95" s="10">
        <v>530975</v>
      </c>
      <c r="EJ95" s="10">
        <f t="shared" si="280"/>
        <v>695577.25</v>
      </c>
      <c r="EK95" s="10">
        <f t="shared" si="253"/>
        <v>1.695628713422793</v>
      </c>
      <c r="EL95" s="10">
        <v>325000</v>
      </c>
      <c r="EM95" s="10">
        <f t="shared" si="281"/>
        <v>416000</v>
      </c>
      <c r="EN95" s="10">
        <f t="shared" si="254"/>
        <v>0.9366321095949629</v>
      </c>
      <c r="EO95" s="11">
        <v>2473467</v>
      </c>
      <c r="EP95" s="11">
        <f t="shared" si="282"/>
        <v>3017629.7399999998</v>
      </c>
      <c r="EQ95" s="11">
        <f t="shared" si="255"/>
        <v>5.7048246279026236</v>
      </c>
      <c r="ER95" s="10">
        <f t="shared" si="256"/>
        <v>8.3370854509203802</v>
      </c>
      <c r="ES95" s="10">
        <f t="shared" si="216"/>
        <v>7.2539176442307687</v>
      </c>
      <c r="ET95" s="12">
        <v>701263</v>
      </c>
      <c r="EU95" s="12">
        <f t="shared" si="283"/>
        <v>918654.53</v>
      </c>
      <c r="EV95" s="12">
        <f t="shared" si="257"/>
        <v>2.2394306294288961</v>
      </c>
      <c r="EW95" s="10">
        <v>97000</v>
      </c>
      <c r="EX95" s="10">
        <f t="shared" si="284"/>
        <v>124160</v>
      </c>
      <c r="EY95" s="10">
        <f t="shared" si="258"/>
        <v>0.27954866040218895</v>
      </c>
      <c r="EZ95" s="3">
        <f t="shared" si="217"/>
        <v>703630.01149038458</v>
      </c>
      <c r="FA95" s="3">
        <f t="shared" si="259"/>
        <v>1.3302115117946023</v>
      </c>
      <c r="FB95" s="3">
        <f t="shared" si="260"/>
        <v>3.8491908016256877</v>
      </c>
      <c r="FC95" s="1">
        <f t="shared" si="218"/>
        <v>0.55030000000000001</v>
      </c>
      <c r="FD95">
        <f>5.58/10</f>
        <v>0.55800000000000005</v>
      </c>
      <c r="FE95">
        <f>6.6</f>
        <v>6.6</v>
      </c>
      <c r="FF95" s="7">
        <f t="shared" si="219"/>
        <v>21.704999999999998</v>
      </c>
      <c r="FG95" s="1">
        <f t="shared" si="220"/>
        <v>3.0209999999999999</v>
      </c>
      <c r="FH95">
        <v>2.63E-2</v>
      </c>
      <c r="FI95">
        <v>3.4000000000000002E-2</v>
      </c>
      <c r="FJ95">
        <v>4.41E-2</v>
      </c>
      <c r="FK95">
        <v>4.0899999999999999E-2</v>
      </c>
      <c r="FL95" s="1">
        <f t="shared" si="221"/>
        <v>2.5666666666666672E-3</v>
      </c>
    </row>
    <row r="96" spans="1:168">
      <c r="A96" t="s">
        <v>131</v>
      </c>
      <c r="B96" s="1" t="s">
        <v>88</v>
      </c>
      <c r="C96" s="1">
        <v>197553</v>
      </c>
      <c r="D96" s="6">
        <f t="shared" si="285"/>
        <v>205943.4</v>
      </c>
      <c r="E96" s="6">
        <f t="shared" si="286"/>
        <v>211537</v>
      </c>
      <c r="F96" s="1">
        <v>225521</v>
      </c>
      <c r="G96" s="1">
        <f t="shared" si="265"/>
        <v>2796.8</v>
      </c>
      <c r="H96" s="1">
        <v>1.31</v>
      </c>
      <c r="I96" s="1">
        <v>1.28</v>
      </c>
      <c r="J96" s="1">
        <v>1.22</v>
      </c>
      <c r="K96">
        <v>83983</v>
      </c>
      <c r="L96">
        <f t="shared" si="225"/>
        <v>0.42511629790486605</v>
      </c>
      <c r="M96" s="1">
        <v>81073</v>
      </c>
      <c r="N96">
        <f t="shared" si="226"/>
        <v>0.35949202069873759</v>
      </c>
      <c r="O96">
        <f t="shared" si="227"/>
        <v>-0.1543678224748139</v>
      </c>
      <c r="P96">
        <f t="shared" si="228"/>
        <v>8.3271430873812752E-2</v>
      </c>
      <c r="Q96">
        <f t="shared" si="229"/>
        <v>7.8428073901792447E-2</v>
      </c>
      <c r="R96">
        <f t="shared" si="230"/>
        <v>493.103894282532</v>
      </c>
      <c r="S96">
        <f t="shared" si="231"/>
        <v>433.62921635293139</v>
      </c>
      <c r="T96">
        <f t="shared" si="232"/>
        <v>666.75405612671022</v>
      </c>
      <c r="U96">
        <v>92297.113769999996</v>
      </c>
      <c r="V96">
        <f t="shared" si="233"/>
        <v>7.2239968173677619E-3</v>
      </c>
      <c r="W96">
        <f t="shared" si="234"/>
        <v>577.10843300623878</v>
      </c>
      <c r="X96">
        <v>79429.064259999999</v>
      </c>
      <c r="Y96">
        <f t="shared" si="235"/>
        <v>7.2657085713254098E-3</v>
      </c>
      <c r="Z96" s="1">
        <v>9467</v>
      </c>
      <c r="AA96" s="1">
        <f t="shared" si="236"/>
        <v>4.7921317317378122E-2</v>
      </c>
      <c r="AB96" s="1">
        <v>105306</v>
      </c>
      <c r="AC96" s="1">
        <f t="shared" si="266"/>
        <v>0.53305188987259111</v>
      </c>
      <c r="AD96" s="1">
        <v>61.278341249999997</v>
      </c>
      <c r="AE96" s="1">
        <v>12057</v>
      </c>
      <c r="AF96">
        <f t="shared" si="165"/>
        <v>1.2735819161297137</v>
      </c>
      <c r="AG96">
        <f t="shared" si="166"/>
        <v>0.11449490057546578</v>
      </c>
      <c r="AH96">
        <f t="shared" si="222"/>
        <v>8.6988629097820291E-3</v>
      </c>
      <c r="AI96">
        <v>45207</v>
      </c>
      <c r="AJ96">
        <f t="shared" si="167"/>
        <v>59221.170000000006</v>
      </c>
      <c r="AK96">
        <f t="shared" si="267"/>
        <v>0.28756041708547109</v>
      </c>
      <c r="AL96">
        <f t="shared" si="168"/>
        <v>40.567501634999999</v>
      </c>
      <c r="AM96">
        <f t="shared" si="169"/>
        <v>7.0884428543998776E-3</v>
      </c>
      <c r="AN96">
        <v>69.12</v>
      </c>
      <c r="AO96">
        <f t="shared" si="170"/>
        <v>69120</v>
      </c>
      <c r="AP96">
        <f t="shared" si="171"/>
        <v>88473.600000000006</v>
      </c>
      <c r="AQ96">
        <f t="shared" si="268"/>
        <v>0.41824172603374354</v>
      </c>
      <c r="AR96">
        <f t="shared" si="172"/>
        <v>51.759606732800002</v>
      </c>
      <c r="AS96">
        <f t="shared" si="173"/>
        <v>8.080465684232185E-3</v>
      </c>
      <c r="AT96" s="1">
        <v>12132</v>
      </c>
      <c r="AU96" s="1">
        <f t="shared" si="237"/>
        <v>5.3795433684667944E-2</v>
      </c>
      <c r="AV96" s="1">
        <f t="shared" si="238"/>
        <v>0.12257835752690464</v>
      </c>
      <c r="AW96" s="1">
        <v>99469</v>
      </c>
      <c r="AX96" s="1">
        <f t="shared" si="174"/>
        <v>121352.18</v>
      </c>
      <c r="AY96" s="1">
        <f t="shared" si="269"/>
        <v>0.53809702865808506</v>
      </c>
      <c r="AZ96" s="1">
        <f t="shared" si="239"/>
        <v>9.4646297693454021E-3</v>
      </c>
      <c r="BA96" s="1">
        <f t="shared" si="175"/>
        <v>60.4858519474</v>
      </c>
      <c r="BB96" s="1">
        <v>10861</v>
      </c>
      <c r="BC96" s="1">
        <f t="shared" si="176"/>
        <v>13250.42</v>
      </c>
      <c r="BD96" s="1">
        <f t="shared" si="177"/>
        <v>1.0921876030333004</v>
      </c>
      <c r="BE96" s="1">
        <f t="shared" si="178"/>
        <v>0.1091897978264585</v>
      </c>
      <c r="BF96" s="1">
        <f t="shared" si="179"/>
        <v>8.8962461688731377E-3</v>
      </c>
      <c r="BG96" s="1">
        <v>3481</v>
      </c>
      <c r="BH96" s="1">
        <f t="shared" si="240"/>
        <v>1.7620587892869254E-2</v>
      </c>
      <c r="BI96" s="1">
        <v>277525.05</v>
      </c>
      <c r="BJ96" s="1">
        <f t="shared" si="270"/>
        <v>1.4048131387526386</v>
      </c>
      <c r="BK96" s="1">
        <v>101.2013381</v>
      </c>
      <c r="BL96" s="1">
        <v>5785.7139999999999</v>
      </c>
      <c r="BM96">
        <f t="shared" si="271"/>
        <v>1.6620838839413961</v>
      </c>
      <c r="BN96">
        <f t="shared" si="272"/>
        <v>2.0847537906938492E-2</v>
      </c>
      <c r="BO96">
        <f t="shared" si="180"/>
        <v>1.3881369210400179E-2</v>
      </c>
      <c r="BP96">
        <v>82227</v>
      </c>
      <c r="BQ96">
        <f t="shared" si="181"/>
        <v>107717.37000000001</v>
      </c>
      <c r="BR96">
        <f t="shared" si="273"/>
        <v>0.52304356439681976</v>
      </c>
      <c r="BS96">
        <f t="shared" si="182"/>
        <v>59.525235619600004</v>
      </c>
      <c r="BT96">
        <f t="shared" si="183"/>
        <v>8.7869213612082886E-3</v>
      </c>
      <c r="BU96">
        <v>122.63</v>
      </c>
      <c r="BV96">
        <f t="shared" si="184"/>
        <v>122630</v>
      </c>
      <c r="BW96">
        <f t="shared" si="185"/>
        <v>156966.39999999999</v>
      </c>
      <c r="BX96">
        <f t="shared" si="274"/>
        <v>0.74202810855784096</v>
      </c>
      <c r="BY96">
        <f t="shared" si="186"/>
        <v>76.247206297600002</v>
      </c>
      <c r="BZ96">
        <f t="shared" si="187"/>
        <v>9.7318727411681901E-3</v>
      </c>
      <c r="CA96" s="1">
        <v>3864</v>
      </c>
      <c r="CB96" s="1">
        <f t="shared" si="241"/>
        <v>1.7133659393138555E-2</v>
      </c>
      <c r="CC96" s="1">
        <f t="shared" si="242"/>
        <v>-2.7634066620884447E-2</v>
      </c>
      <c r="CD96" s="1">
        <v>149436</v>
      </c>
      <c r="CE96" s="1">
        <f t="shared" si="188"/>
        <v>182311.91999999998</v>
      </c>
      <c r="CF96">
        <f t="shared" si="275"/>
        <v>0.80840329725391424</v>
      </c>
      <c r="CG96">
        <f t="shared" si="243"/>
        <v>-0.42454745406801109</v>
      </c>
      <c r="CH96">
        <f t="shared" si="189"/>
        <v>90.917938902799989</v>
      </c>
      <c r="CI96" s="1">
        <v>5578</v>
      </c>
      <c r="CJ96" s="1">
        <f t="shared" si="190"/>
        <v>6805.16</v>
      </c>
      <c r="CK96">
        <f t="shared" si="191"/>
        <v>1.7611697722567288</v>
      </c>
      <c r="CL96">
        <f t="shared" si="192"/>
        <v>3.7327016247758242E-2</v>
      </c>
      <c r="CM96">
        <f t="shared" si="193"/>
        <v>8.8915708715985638E-3</v>
      </c>
      <c r="CN96" s="1">
        <v>8600</v>
      </c>
      <c r="CO96" s="1">
        <f t="shared" si="244"/>
        <v>4.3532621625589081E-2</v>
      </c>
      <c r="CP96" s="1">
        <v>131336433</v>
      </c>
      <c r="CQ96" s="1">
        <f t="shared" si="276"/>
        <v>664.81619109808503</v>
      </c>
      <c r="CR96" s="1">
        <v>108123.0123</v>
      </c>
      <c r="CS96" s="1">
        <v>10607560</v>
      </c>
      <c r="CT96">
        <f t="shared" si="194"/>
        <v>1233.4372093023255</v>
      </c>
      <c r="CU96">
        <f t="shared" si="195"/>
        <v>8.0766317142174859E-2</v>
      </c>
      <c r="CV96">
        <f t="shared" si="196"/>
        <v>6.1487020843765837E-3</v>
      </c>
      <c r="CW96" s="1">
        <v>8122</v>
      </c>
      <c r="CX96" s="1">
        <f t="shared" si="245"/>
        <v>3.601438446973896E-2</v>
      </c>
      <c r="CY96" s="1">
        <f t="shared" si="246"/>
        <v>-0.17270352381972781</v>
      </c>
      <c r="CZ96" s="1">
        <v>106431481</v>
      </c>
      <c r="DA96" s="1">
        <f t="shared" si="261"/>
        <v>129846406.81999999</v>
      </c>
      <c r="DB96" s="1">
        <f t="shared" si="277"/>
        <v>575.76193268032682</v>
      </c>
      <c r="DC96" s="1">
        <f t="shared" si="247"/>
        <v>-0.13395320332175756</v>
      </c>
      <c r="DD96" s="1">
        <f t="shared" si="197"/>
        <v>93954.54819500001</v>
      </c>
      <c r="DE96" s="1">
        <v>8555913</v>
      </c>
      <c r="DF96" s="1">
        <f t="shared" si="262"/>
        <v>10438213.859999999</v>
      </c>
      <c r="DG96">
        <f t="shared" si="263"/>
        <v>1285.1777714848558</v>
      </c>
      <c r="DH96">
        <f t="shared" si="264"/>
        <v>8.0388931165958313E-2</v>
      </c>
      <c r="DI96">
        <f t="shared" si="201"/>
        <v>6.1280900578154999E-3</v>
      </c>
      <c r="DJ96" s="1">
        <v>3560070</v>
      </c>
      <c r="DK96">
        <f t="shared" si="278"/>
        <v>18.020834915187315</v>
      </c>
      <c r="DL96">
        <v>1889.3069949999999</v>
      </c>
      <c r="DM96" s="1">
        <v>639501</v>
      </c>
      <c r="DN96" s="3">
        <f t="shared" si="202"/>
        <v>9.5383307016165021E-3</v>
      </c>
      <c r="DO96" s="1">
        <v>2621699</v>
      </c>
      <c r="DP96" s="1">
        <f t="shared" si="203"/>
        <v>3198472.78</v>
      </c>
      <c r="DQ96" s="3">
        <f t="shared" si="279"/>
        <v>14.182593993464023</v>
      </c>
      <c r="DR96" s="3">
        <f t="shared" si="204"/>
        <v>1905.8896083399998</v>
      </c>
      <c r="DS96" s="3">
        <f t="shared" si="205"/>
        <v>629441.90871346951</v>
      </c>
      <c r="DT96" s="3">
        <f t="shared" si="206"/>
        <v>7.4414561742727802E-3</v>
      </c>
      <c r="DU96" s="3">
        <f t="shared" si="207"/>
        <v>0.98427040569673785</v>
      </c>
      <c r="DV96" s="3">
        <f t="shared" si="208"/>
        <v>420.73400066042382</v>
      </c>
      <c r="DW96" s="3">
        <f t="shared" si="209"/>
        <v>7.3835750144125703E-2</v>
      </c>
      <c r="DX96" s="3">
        <f t="shared" si="210"/>
        <v>135279334.05000001</v>
      </c>
      <c r="DY96" s="3">
        <f t="shared" si="248"/>
        <v>684.77489104189772</v>
      </c>
      <c r="DZ96" s="3">
        <f t="shared" si="211"/>
        <v>134896503</v>
      </c>
      <c r="EA96" s="3">
        <f t="shared" si="212"/>
        <v>166938.54</v>
      </c>
      <c r="EB96" s="3">
        <f t="shared" si="249"/>
        <v>0.81060398148229085</v>
      </c>
      <c r="EC96" s="3">
        <f t="shared" si="213"/>
        <v>245440</v>
      </c>
      <c r="ED96" s="3">
        <f t="shared" si="250"/>
        <v>1.1602698345915845</v>
      </c>
      <c r="EE96" s="9">
        <f t="shared" si="214"/>
        <v>133348543.69999999</v>
      </c>
      <c r="EF96" s="13">
        <f t="shared" si="251"/>
        <v>591.29102699970281</v>
      </c>
      <c r="EG96" s="14">
        <f t="shared" si="252"/>
        <v>-0.13651765750341324</v>
      </c>
      <c r="EH96" s="9">
        <f t="shared" si="215"/>
        <v>133044879.59999999</v>
      </c>
      <c r="EI96" s="10">
        <v>419695</v>
      </c>
      <c r="EJ96" s="10">
        <f t="shared" si="280"/>
        <v>549800.45000000007</v>
      </c>
      <c r="EK96" s="10">
        <f t="shared" si="253"/>
        <v>2.6696677339502024</v>
      </c>
      <c r="EL96" s="10">
        <v>467000</v>
      </c>
      <c r="EM96" s="10">
        <f t="shared" si="281"/>
        <v>597760</v>
      </c>
      <c r="EN96" s="10">
        <f t="shared" si="254"/>
        <v>2.8257940691226593</v>
      </c>
      <c r="EO96" s="11">
        <v>2818313</v>
      </c>
      <c r="EP96" s="11">
        <f t="shared" si="282"/>
        <v>3438341.86</v>
      </c>
      <c r="EQ96" s="11">
        <f t="shared" si="255"/>
        <v>15.246215917808097</v>
      </c>
      <c r="ER96" s="10">
        <f t="shared" si="256"/>
        <v>20.741677720880958</v>
      </c>
      <c r="ES96" s="10">
        <f t="shared" si="216"/>
        <v>5.7520440645074942</v>
      </c>
      <c r="ET96" s="12">
        <v>590326</v>
      </c>
      <c r="EU96" s="12">
        <f t="shared" si="283"/>
        <v>773327.06</v>
      </c>
      <c r="EV96" s="12">
        <f t="shared" si="257"/>
        <v>3.7550465807595681</v>
      </c>
      <c r="EW96" s="10">
        <v>120000</v>
      </c>
      <c r="EX96" s="10">
        <f t="shared" si="284"/>
        <v>153600</v>
      </c>
      <c r="EY96" s="10">
        <f t="shared" si="258"/>
        <v>0.72611410769747131</v>
      </c>
      <c r="EZ96" s="3">
        <f t="shared" si="217"/>
        <v>690245.28774089925</v>
      </c>
      <c r="FA96" s="3">
        <f t="shared" si="259"/>
        <v>3.0606696837141518</v>
      </c>
      <c r="FB96" s="3">
        <f t="shared" si="260"/>
        <v>7.5418303721711917</v>
      </c>
      <c r="FC96" s="1">
        <f t="shared" si="218"/>
        <v>0.31630000000000003</v>
      </c>
      <c r="FD96">
        <f>3.24/10</f>
        <v>0.32400000000000001</v>
      </c>
      <c r="FE96">
        <f>3.8</f>
        <v>3.8</v>
      </c>
      <c r="FF96" s="7">
        <f t="shared" si="219"/>
        <v>12.489999999999998</v>
      </c>
      <c r="FG96" s="1">
        <f t="shared" si="220"/>
        <v>1.738</v>
      </c>
      <c r="FH96">
        <v>2.63E-2</v>
      </c>
      <c r="FI96">
        <v>3.4000000000000002E-2</v>
      </c>
      <c r="FJ96">
        <v>4.41E-2</v>
      </c>
      <c r="FK96">
        <v>4.0899999999999999E-2</v>
      </c>
      <c r="FL96" s="1">
        <f t="shared" si="221"/>
        <v>2.5666666666666672E-3</v>
      </c>
    </row>
    <row r="97" spans="1:168">
      <c r="A97" t="s">
        <v>138</v>
      </c>
      <c r="B97" s="1" t="s">
        <v>97</v>
      </c>
      <c r="C97" s="1">
        <v>194102</v>
      </c>
      <c r="D97" s="6">
        <f t="shared" si="285"/>
        <v>199358.3</v>
      </c>
      <c r="E97" s="6">
        <f t="shared" si="286"/>
        <v>202862.5</v>
      </c>
      <c r="F97" s="1">
        <v>211623</v>
      </c>
      <c r="G97" s="1">
        <f t="shared" si="265"/>
        <v>1752.1</v>
      </c>
      <c r="H97" s="1">
        <v>1.31</v>
      </c>
      <c r="I97" s="1">
        <v>1.28</v>
      </c>
      <c r="J97" s="1">
        <v>1.22</v>
      </c>
      <c r="K97">
        <v>71859</v>
      </c>
      <c r="L97">
        <f t="shared" si="225"/>
        <v>0.37021256864947294</v>
      </c>
      <c r="M97" s="1">
        <v>66711</v>
      </c>
      <c r="N97">
        <f t="shared" si="226"/>
        <v>0.31523511149544237</v>
      </c>
      <c r="O97">
        <f t="shared" si="227"/>
        <v>-0.14850240594096276</v>
      </c>
      <c r="P97">
        <f t="shared" si="228"/>
        <v>8.3226323762773266E-2</v>
      </c>
      <c r="Q97">
        <f t="shared" si="229"/>
        <v>6.0233121185308783E-2</v>
      </c>
      <c r="R97">
        <f t="shared" si="230"/>
        <v>482.0439266000908</v>
      </c>
      <c r="S97">
        <f t="shared" si="231"/>
        <v>353.68618795712769</v>
      </c>
      <c r="T97">
        <f t="shared" si="232"/>
        <v>674.37011058618668</v>
      </c>
      <c r="U97">
        <v>92297.113769999996</v>
      </c>
      <c r="V97">
        <f t="shared" si="233"/>
        <v>7.306513530495491E-3</v>
      </c>
      <c r="W97">
        <f t="shared" si="234"/>
        <v>596.02445301314128</v>
      </c>
      <c r="X97">
        <v>79429.064259999999</v>
      </c>
      <c r="Y97">
        <f t="shared" si="235"/>
        <v>7.503858424696256E-3</v>
      </c>
      <c r="Z97" s="1">
        <v>9285</v>
      </c>
      <c r="AA97" s="1">
        <f t="shared" si="236"/>
        <v>4.7835674027057941E-2</v>
      </c>
      <c r="AB97" s="1">
        <v>101818</v>
      </c>
      <c r="AC97" s="1">
        <f t="shared" si="266"/>
        <v>0.52455925235185619</v>
      </c>
      <c r="AD97" s="1">
        <v>61.278341249999997</v>
      </c>
      <c r="AE97" s="1">
        <v>12485</v>
      </c>
      <c r="AF97">
        <f t="shared" si="165"/>
        <v>1.3446418955304253</v>
      </c>
      <c r="AG97">
        <f t="shared" si="166"/>
        <v>0.12262075467991908</v>
      </c>
      <c r="AH97">
        <f t="shared" si="222"/>
        <v>8.5602717314391431E-3</v>
      </c>
      <c r="AI97">
        <v>47413</v>
      </c>
      <c r="AJ97">
        <f t="shared" si="167"/>
        <v>62111.030000000006</v>
      </c>
      <c r="AK97">
        <f t="shared" si="267"/>
        <v>0.31155477349074512</v>
      </c>
      <c r="AL97">
        <f t="shared" si="168"/>
        <v>40.567501634999999</v>
      </c>
      <c r="AM97">
        <f t="shared" si="169"/>
        <v>7.6799102960274056E-3</v>
      </c>
      <c r="AN97">
        <v>67.040000000000006</v>
      </c>
      <c r="AO97">
        <f t="shared" si="170"/>
        <v>67040</v>
      </c>
      <c r="AP97">
        <f t="shared" si="171"/>
        <v>85811.199999999997</v>
      </c>
      <c r="AQ97">
        <f t="shared" si="268"/>
        <v>0.42300178692464108</v>
      </c>
      <c r="AR97">
        <f t="shared" si="172"/>
        <v>51.759606732800002</v>
      </c>
      <c r="AS97">
        <f t="shared" si="173"/>
        <v>8.1724304650982859E-3</v>
      </c>
      <c r="AT97" s="1">
        <v>11199</v>
      </c>
      <c r="AU97" s="1">
        <f t="shared" si="237"/>
        <v>5.2919578684736533E-2</v>
      </c>
      <c r="AV97" s="1">
        <f t="shared" si="238"/>
        <v>0.1062785203946936</v>
      </c>
      <c r="AW97" s="1">
        <v>87062</v>
      </c>
      <c r="AX97" s="1">
        <f t="shared" si="174"/>
        <v>106215.64</v>
      </c>
      <c r="AY97" s="1">
        <f t="shared" si="269"/>
        <v>0.50190971680771934</v>
      </c>
      <c r="AZ97" s="1">
        <f t="shared" si="239"/>
        <v>-4.3178221416528023E-2</v>
      </c>
      <c r="BA97" s="1">
        <f t="shared" si="175"/>
        <v>60.4858519474</v>
      </c>
      <c r="BB97" s="1">
        <v>11197</v>
      </c>
      <c r="BC97" s="1">
        <f t="shared" si="176"/>
        <v>13660.34</v>
      </c>
      <c r="BD97" s="1">
        <f t="shared" si="177"/>
        <v>1.2197821234038753</v>
      </c>
      <c r="BE97" s="1">
        <f t="shared" si="178"/>
        <v>0.12860949668052651</v>
      </c>
      <c r="BF97" s="1">
        <f t="shared" si="179"/>
        <v>8.2979688745095717E-3</v>
      </c>
      <c r="BG97" s="1">
        <v>4610</v>
      </c>
      <c r="BH97" s="1">
        <f t="shared" si="240"/>
        <v>2.3750399274608196E-2</v>
      </c>
      <c r="BI97" s="1">
        <v>133566.20499999999</v>
      </c>
      <c r="BJ97" s="1">
        <f t="shared" si="270"/>
        <v>0.68812379573626237</v>
      </c>
      <c r="BK97" s="1">
        <v>101.2013381</v>
      </c>
      <c r="BL97" s="1">
        <v>7810.7030000000004</v>
      </c>
      <c r="BM97">
        <f t="shared" si="271"/>
        <v>1.6942956616052061</v>
      </c>
      <c r="BN97">
        <f t="shared" si="272"/>
        <v>5.8478138238636047E-2</v>
      </c>
      <c r="BO97">
        <f t="shared" si="180"/>
        <v>6.7995523444196668E-3</v>
      </c>
      <c r="BP97">
        <v>62745</v>
      </c>
      <c r="BQ97">
        <f t="shared" si="181"/>
        <v>82195.95</v>
      </c>
      <c r="BR97">
        <f t="shared" si="273"/>
        <v>0.41230262296578574</v>
      </c>
      <c r="BS97">
        <f t="shared" si="182"/>
        <v>59.525235619600004</v>
      </c>
      <c r="BT97">
        <f t="shared" si="183"/>
        <v>6.9265181174692561E-3</v>
      </c>
      <c r="BU97">
        <v>101.71</v>
      </c>
      <c r="BV97">
        <f t="shared" si="184"/>
        <v>101710</v>
      </c>
      <c r="BW97">
        <f t="shared" si="185"/>
        <v>130188.8</v>
      </c>
      <c r="BX97">
        <f t="shared" si="274"/>
        <v>0.64175882679154606</v>
      </c>
      <c r="BY97">
        <f t="shared" si="186"/>
        <v>76.247206297600002</v>
      </c>
      <c r="BZ97">
        <f t="shared" si="187"/>
        <v>8.4168175852463514E-3</v>
      </c>
      <c r="CA97" s="1">
        <v>5087</v>
      </c>
      <c r="CB97" s="1">
        <f t="shared" si="241"/>
        <v>2.4038029892781032E-2</v>
      </c>
      <c r="CC97" s="1">
        <f t="shared" si="242"/>
        <v>1.2110559273011688E-2</v>
      </c>
      <c r="CD97" s="1">
        <v>135086</v>
      </c>
      <c r="CE97" s="1">
        <f t="shared" si="188"/>
        <v>164804.91999999998</v>
      </c>
      <c r="CF97">
        <f t="shared" si="275"/>
        <v>0.77876658019213407</v>
      </c>
      <c r="CG97">
        <f t="shared" si="243"/>
        <v>0.1317245312798519</v>
      </c>
      <c r="CH97">
        <f t="shared" si="189"/>
        <v>90.917938902799989</v>
      </c>
      <c r="CI97" s="1">
        <v>8340</v>
      </c>
      <c r="CJ97" s="1">
        <f t="shared" si="190"/>
        <v>10174.799999999999</v>
      </c>
      <c r="CK97">
        <f t="shared" si="191"/>
        <v>2.0001572636131315</v>
      </c>
      <c r="CL97">
        <f t="shared" si="192"/>
        <v>6.1738448099729067E-2</v>
      </c>
      <c r="CM97">
        <f t="shared" si="193"/>
        <v>8.5655987101149571E-3</v>
      </c>
      <c r="CN97" s="1">
        <v>8135</v>
      </c>
      <c r="CO97" s="1">
        <f t="shared" si="244"/>
        <v>4.191095403447672E-2</v>
      </c>
      <c r="CP97" s="1">
        <v>130661203</v>
      </c>
      <c r="CQ97" s="1">
        <f t="shared" si="276"/>
        <v>673.15742753809855</v>
      </c>
      <c r="CR97" s="1">
        <v>108123.0123</v>
      </c>
      <c r="CS97" s="1">
        <v>10599132</v>
      </c>
      <c r="CT97">
        <f t="shared" si="194"/>
        <v>1302.9049784880146</v>
      </c>
      <c r="CU97">
        <f t="shared" si="195"/>
        <v>8.1119198022384653E-2</v>
      </c>
      <c r="CV97">
        <f t="shared" si="196"/>
        <v>6.2258478858352945E-3</v>
      </c>
      <c r="CW97" s="1">
        <v>5453</v>
      </c>
      <c r="CX97" s="1">
        <f t="shared" si="245"/>
        <v>2.5767520543608209E-2</v>
      </c>
      <c r="CY97" s="1">
        <f t="shared" si="246"/>
        <v>-0.38518410908968159</v>
      </c>
      <c r="CZ97" s="1">
        <v>103165133</v>
      </c>
      <c r="DA97" s="1">
        <f t="shared" si="261"/>
        <v>125861462.25999999</v>
      </c>
      <c r="DB97" s="1">
        <f t="shared" si="277"/>
        <v>594.74377671614138</v>
      </c>
      <c r="DC97" s="1">
        <f t="shared" si="247"/>
        <v>-0.1164863486818159</v>
      </c>
      <c r="DD97" s="1">
        <f t="shared" si="197"/>
        <v>93954.54819500001</v>
      </c>
      <c r="DE97" s="1">
        <v>6282745</v>
      </c>
      <c r="DF97" s="1">
        <f t="shared" si="262"/>
        <v>7664948.8999999994</v>
      </c>
      <c r="DG97">
        <f t="shared" si="263"/>
        <v>1405.6388960205391</v>
      </c>
      <c r="DH97">
        <f t="shared" si="264"/>
        <v>6.0899887561818002E-2</v>
      </c>
      <c r="DI97">
        <f t="shared" si="201"/>
        <v>6.3301222574320458E-3</v>
      </c>
      <c r="DJ97" s="1">
        <v>2677734</v>
      </c>
      <c r="DK97">
        <f t="shared" si="278"/>
        <v>13.795499273577809</v>
      </c>
      <c r="DL97">
        <v>1889.3069949999999</v>
      </c>
      <c r="DM97" s="1">
        <v>497472</v>
      </c>
      <c r="DN97" s="3">
        <f t="shared" si="202"/>
        <v>7.3018833413983153E-3</v>
      </c>
      <c r="DO97" s="1">
        <v>1244222</v>
      </c>
      <c r="DP97" s="1">
        <f t="shared" si="203"/>
        <v>1517950.8399999999</v>
      </c>
      <c r="DQ97" s="3">
        <f t="shared" si="279"/>
        <v>7.1729010551783121</v>
      </c>
      <c r="DR97" s="3">
        <f t="shared" si="204"/>
        <v>1905.8896083399998</v>
      </c>
      <c r="DS97" s="3">
        <f t="shared" si="205"/>
        <v>360184.64280013181</v>
      </c>
      <c r="DT97" s="3">
        <f t="shared" si="206"/>
        <v>3.7635448683860538E-3</v>
      </c>
      <c r="DU97" s="3">
        <f t="shared" si="207"/>
        <v>0.72402998118513573</v>
      </c>
      <c r="DV97" s="3">
        <f t="shared" si="208"/>
        <v>452.46712524211785</v>
      </c>
      <c r="DW97" s="3">
        <f t="shared" si="209"/>
        <v>8.5577653880502216E-2</v>
      </c>
      <c r="DX97" s="3">
        <f t="shared" si="210"/>
        <v>133574321.205</v>
      </c>
      <c r="DY97" s="3">
        <f t="shared" si="248"/>
        <v>688.16560985976446</v>
      </c>
      <c r="DZ97" s="3">
        <f t="shared" si="211"/>
        <v>133338937</v>
      </c>
      <c r="EA97" s="3">
        <f t="shared" si="212"/>
        <v>144306.98000000001</v>
      </c>
      <c r="EB97" s="3">
        <f t="shared" si="249"/>
        <v>0.72385739645653091</v>
      </c>
      <c r="EC97" s="3">
        <f t="shared" si="213"/>
        <v>216000</v>
      </c>
      <c r="ED97" s="3">
        <f t="shared" si="250"/>
        <v>1.0647606137161871</v>
      </c>
      <c r="EE97" s="9">
        <f t="shared" si="214"/>
        <v>127650433.66</v>
      </c>
      <c r="EF97" s="13">
        <f t="shared" si="251"/>
        <v>603.19735406831956</v>
      </c>
      <c r="EG97" s="14">
        <f t="shared" si="252"/>
        <v>-0.12347065092189055</v>
      </c>
      <c r="EH97" s="9">
        <f t="shared" si="215"/>
        <v>127379413.09999999</v>
      </c>
      <c r="EI97" s="10">
        <v>408112</v>
      </c>
      <c r="EJ97" s="10">
        <f t="shared" si="280"/>
        <v>534626.72</v>
      </c>
      <c r="EK97" s="10">
        <f t="shared" si="253"/>
        <v>2.6817379562325723</v>
      </c>
      <c r="EL97" s="10">
        <v>428000</v>
      </c>
      <c r="EM97" s="10">
        <f t="shared" si="281"/>
        <v>547840</v>
      </c>
      <c r="EN97" s="10">
        <f t="shared" si="254"/>
        <v>2.7005484010105367</v>
      </c>
      <c r="EO97" s="11">
        <v>2375974</v>
      </c>
      <c r="EP97" s="11">
        <f t="shared" si="282"/>
        <v>2898688.28</v>
      </c>
      <c r="EQ97" s="11">
        <f t="shared" si="255"/>
        <v>13.697416065361514</v>
      </c>
      <c r="ER97" s="10">
        <f t="shared" si="256"/>
        <v>19.079702422604623</v>
      </c>
      <c r="ES97" s="10">
        <f t="shared" si="216"/>
        <v>5.2911220064252333</v>
      </c>
      <c r="ET97" s="12">
        <v>414676</v>
      </c>
      <c r="EU97" s="12">
        <f t="shared" si="283"/>
        <v>543225.56000000006</v>
      </c>
      <c r="EV97" s="12">
        <f t="shared" si="257"/>
        <v>2.724870547150533</v>
      </c>
      <c r="EW97" s="10">
        <v>121000</v>
      </c>
      <c r="EX97" s="10">
        <f t="shared" si="284"/>
        <v>154880</v>
      </c>
      <c r="EY97" s="10">
        <f t="shared" si="258"/>
        <v>0.76347279561279191</v>
      </c>
      <c r="EZ97" s="3">
        <f t="shared" si="217"/>
        <v>640225.76277745329</v>
      </c>
      <c r="FA97" s="3">
        <f t="shared" si="259"/>
        <v>3.025312762683892</v>
      </c>
      <c r="FB97" s="3">
        <f t="shared" si="260"/>
        <v>6.5136561054472164</v>
      </c>
      <c r="FC97" s="1">
        <f t="shared" si="218"/>
        <v>8.7300000000000003E-2</v>
      </c>
      <c r="FD97">
        <f>0.95/10</f>
        <v>9.5000000000000001E-2</v>
      </c>
      <c r="FE97">
        <f>4.4</f>
        <v>4.4000000000000004</v>
      </c>
      <c r="FF97" s="7">
        <f t="shared" si="219"/>
        <v>15.162500000000001</v>
      </c>
      <c r="FG97" s="1">
        <f t="shared" si="220"/>
        <v>2.1525000000000003</v>
      </c>
      <c r="FH97">
        <v>2.63E-2</v>
      </c>
      <c r="FI97">
        <v>3.4000000000000002E-2</v>
      </c>
      <c r="FJ97">
        <v>4.41E-2</v>
      </c>
      <c r="FK97">
        <v>4.0899999999999999E-2</v>
      </c>
      <c r="FL97" s="1">
        <f t="shared" si="221"/>
        <v>2.5666666666666672E-3</v>
      </c>
    </row>
    <row r="98" spans="1:168">
      <c r="A98" t="s">
        <v>124</v>
      </c>
      <c r="B98" s="1" t="s">
        <v>69</v>
      </c>
      <c r="C98" s="1">
        <v>159792</v>
      </c>
      <c r="D98" s="6">
        <v>165902</v>
      </c>
      <c r="E98" s="6">
        <v>169976</v>
      </c>
      <c r="F98" s="1">
        <v>180160</v>
      </c>
      <c r="G98" s="1">
        <f t="shared" si="265"/>
        <v>2036.8</v>
      </c>
      <c r="H98" s="1">
        <v>1.31</v>
      </c>
      <c r="I98" s="1">
        <v>1.28</v>
      </c>
      <c r="J98" s="1">
        <v>1.22</v>
      </c>
      <c r="K98" s="1">
        <v>71612</v>
      </c>
      <c r="L98">
        <f t="shared" si="225"/>
        <v>0.44815760488635226</v>
      </c>
      <c r="M98" s="1">
        <v>74402</v>
      </c>
      <c r="N98">
        <f t="shared" si="226"/>
        <v>0.41297735346358794</v>
      </c>
      <c r="O98">
        <f t="shared" si="227"/>
        <v>-7.8499730985677765E-2</v>
      </c>
      <c r="P98">
        <f t="shared" si="228"/>
        <v>0.12634544582747151</v>
      </c>
      <c r="Q98">
        <f t="shared" si="229"/>
        <v>9.4696706460792979E-2</v>
      </c>
      <c r="R98">
        <f t="shared" si="230"/>
        <v>502.82191924869096</v>
      </c>
      <c r="S98">
        <f t="shared" si="231"/>
        <v>435.6569175954686</v>
      </c>
      <c r="T98">
        <f t="shared" si="232"/>
        <v>549.07090743591664</v>
      </c>
      <c r="U98">
        <v>92297.113769999996</v>
      </c>
      <c r="V98">
        <f t="shared" si="233"/>
        <v>5.9489499184576357E-3</v>
      </c>
      <c r="W98">
        <f t="shared" si="234"/>
        <v>547.31662211367666</v>
      </c>
      <c r="X98">
        <v>79429.064259999999</v>
      </c>
      <c r="Y98">
        <f t="shared" si="235"/>
        <v>6.8906341427126946E-3</v>
      </c>
      <c r="Z98" s="1">
        <v>7526</v>
      </c>
      <c r="AA98" s="1">
        <f t="shared" si="236"/>
        <v>4.7098728346850909E-2</v>
      </c>
      <c r="AB98" s="1">
        <v>69145</v>
      </c>
      <c r="AC98" s="1">
        <f t="shared" si="266"/>
        <v>0.43271878441974565</v>
      </c>
      <c r="AD98" s="1">
        <v>61.278341249999997</v>
      </c>
      <c r="AE98" s="1">
        <v>9243</v>
      </c>
      <c r="AF98">
        <f t="shared" si="165"/>
        <v>1.2281424395429179</v>
      </c>
      <c r="AG98">
        <f t="shared" si="166"/>
        <v>0.13367560922698676</v>
      </c>
      <c r="AH98">
        <f t="shared" si="222"/>
        <v>7.0615290099704789E-3</v>
      </c>
      <c r="AI98">
        <v>40461</v>
      </c>
      <c r="AJ98">
        <f t="shared" si="167"/>
        <v>53003.91</v>
      </c>
      <c r="AK98">
        <f t="shared" si="267"/>
        <v>0.31948927680196743</v>
      </c>
      <c r="AL98">
        <f t="shared" si="168"/>
        <v>40.567501634999999</v>
      </c>
      <c r="AM98">
        <f t="shared" si="169"/>
        <v>7.8754979706791954E-3</v>
      </c>
      <c r="AN98">
        <v>52.02</v>
      </c>
      <c r="AO98">
        <f t="shared" si="170"/>
        <v>52020</v>
      </c>
      <c r="AP98">
        <f t="shared" si="171"/>
        <v>66585.600000000006</v>
      </c>
      <c r="AQ98">
        <f t="shared" si="268"/>
        <v>0.39173530380759641</v>
      </c>
      <c r="AR98">
        <f t="shared" si="172"/>
        <v>51.759606732800002</v>
      </c>
      <c r="AS98">
        <f t="shared" si="173"/>
        <v>7.5683593546191728E-3</v>
      </c>
      <c r="AT98" s="1">
        <v>9190</v>
      </c>
      <c r="AU98" s="1">
        <f t="shared" si="237"/>
        <v>5.1010213143872114E-2</v>
      </c>
      <c r="AV98" s="1">
        <f t="shared" si="238"/>
        <v>8.3048628579007772E-2</v>
      </c>
      <c r="AW98" s="1">
        <v>66045</v>
      </c>
      <c r="AX98" s="1">
        <f t="shared" si="174"/>
        <v>80574.899999999994</v>
      </c>
      <c r="AY98" s="1">
        <f t="shared" si="269"/>
        <v>0.44724078596802841</v>
      </c>
      <c r="AZ98" s="1">
        <f t="shared" si="239"/>
        <v>3.3559905581071643E-2</v>
      </c>
      <c r="BA98" s="1">
        <f t="shared" si="175"/>
        <v>60.4858519474</v>
      </c>
      <c r="BB98" s="1">
        <v>8189</v>
      </c>
      <c r="BC98" s="1">
        <f t="shared" si="176"/>
        <v>9990.58</v>
      </c>
      <c r="BD98" s="1">
        <f t="shared" si="177"/>
        <v>1.087114254624592</v>
      </c>
      <c r="BE98" s="1">
        <f t="shared" si="178"/>
        <v>0.12399121810886518</v>
      </c>
      <c r="BF98" s="1">
        <f t="shared" si="179"/>
        <v>7.3941388203800137E-3</v>
      </c>
      <c r="BG98" s="1">
        <v>3537</v>
      </c>
      <c r="BH98" s="1">
        <f t="shared" si="240"/>
        <v>2.2135025533193152E-2</v>
      </c>
      <c r="BI98" s="1">
        <v>155585.44099999999</v>
      </c>
      <c r="BJ98" s="1">
        <f t="shared" si="270"/>
        <v>0.973674783468509</v>
      </c>
      <c r="BK98" s="1">
        <v>101.2013381</v>
      </c>
      <c r="BL98" s="1">
        <v>5935.893</v>
      </c>
      <c r="BM98">
        <f t="shared" si="271"/>
        <v>1.6782281594571671</v>
      </c>
      <c r="BN98">
        <f t="shared" si="272"/>
        <v>3.8151982356755348E-2</v>
      </c>
      <c r="BO98">
        <f t="shared" si="180"/>
        <v>9.6211651125244265E-3</v>
      </c>
      <c r="BP98">
        <v>33213</v>
      </c>
      <c r="BQ98">
        <f t="shared" si="181"/>
        <v>43509.03</v>
      </c>
      <c r="BR98">
        <f t="shared" si="273"/>
        <v>0.26225741702933059</v>
      </c>
      <c r="BS98">
        <f t="shared" si="182"/>
        <v>59.525235619600004</v>
      </c>
      <c r="BT98">
        <f t="shared" si="183"/>
        <v>4.405819049676748E-3</v>
      </c>
      <c r="BU98">
        <v>88.64</v>
      </c>
      <c r="BV98">
        <f t="shared" si="184"/>
        <v>88640</v>
      </c>
      <c r="BW98">
        <f t="shared" si="185"/>
        <v>113459.2</v>
      </c>
      <c r="BX98">
        <f t="shared" si="274"/>
        <v>0.66750129430037175</v>
      </c>
      <c r="BY98">
        <f t="shared" si="186"/>
        <v>76.247206297600002</v>
      </c>
      <c r="BZ98">
        <f t="shared" si="187"/>
        <v>8.7544360864193708E-3</v>
      </c>
      <c r="CA98" s="1">
        <v>4263</v>
      </c>
      <c r="CB98" s="1">
        <f t="shared" si="241"/>
        <v>2.3662300177619892E-2</v>
      </c>
      <c r="CC98" s="1">
        <f t="shared" si="242"/>
        <v>6.8998097252541024E-2</v>
      </c>
      <c r="CD98" s="1">
        <v>109402</v>
      </c>
      <c r="CE98" s="1">
        <f t="shared" si="188"/>
        <v>133470.44</v>
      </c>
      <c r="CF98">
        <f t="shared" si="275"/>
        <v>0.74084391651865011</v>
      </c>
      <c r="CG98">
        <f t="shared" si="243"/>
        <v>-0.23912590826317645</v>
      </c>
      <c r="CH98">
        <f t="shared" si="189"/>
        <v>90.917938902799989</v>
      </c>
      <c r="CI98" s="1">
        <v>5710</v>
      </c>
      <c r="CJ98" s="1">
        <f t="shared" si="190"/>
        <v>6966.2</v>
      </c>
      <c r="CK98">
        <f t="shared" si="191"/>
        <v>1.6341074360778793</v>
      </c>
      <c r="CL98">
        <f t="shared" si="192"/>
        <v>5.2192830112795012E-2</v>
      </c>
      <c r="CM98">
        <f t="shared" si="193"/>
        <v>8.14849000603372E-3</v>
      </c>
      <c r="CN98" s="1">
        <v>9754</v>
      </c>
      <c r="CO98" s="1">
        <f t="shared" si="244"/>
        <v>6.1041854410733953E-2</v>
      </c>
      <c r="CP98" s="1">
        <v>87512408</v>
      </c>
      <c r="CQ98" s="1">
        <f t="shared" si="276"/>
        <v>547.66451386802839</v>
      </c>
      <c r="CR98" s="1">
        <v>108123.0123</v>
      </c>
      <c r="CS98" s="1">
        <v>10452065</v>
      </c>
      <c r="CT98">
        <f t="shared" si="194"/>
        <v>1071.5670494156243</v>
      </c>
      <c r="CU98">
        <f t="shared" si="195"/>
        <v>0.11943523482978551</v>
      </c>
      <c r="CV98">
        <f t="shared" si="196"/>
        <v>5.0651984459003868E-3</v>
      </c>
      <c r="CW98" s="1">
        <v>8439</v>
      </c>
      <c r="CX98" s="1">
        <f t="shared" si="245"/>
        <v>4.684169626998224E-2</v>
      </c>
      <c r="CY98" s="1">
        <f t="shared" si="246"/>
        <v>-0.23262986155700202</v>
      </c>
      <c r="CZ98" s="1">
        <v>80647965</v>
      </c>
      <c r="DA98" s="1">
        <f t="shared" si="261"/>
        <v>98390517.299999997</v>
      </c>
      <c r="DB98" s="1">
        <f t="shared" si="277"/>
        <v>546.12853741119</v>
      </c>
      <c r="DC98" s="1">
        <f t="shared" si="247"/>
        <v>-2.8045937210540626E-3</v>
      </c>
      <c r="DD98" s="1">
        <f t="shared" si="197"/>
        <v>93954.54819500001</v>
      </c>
      <c r="DE98" s="1">
        <v>7803643</v>
      </c>
      <c r="DF98" s="1">
        <f t="shared" si="262"/>
        <v>9520444.459999999</v>
      </c>
      <c r="DG98">
        <f t="shared" si="263"/>
        <v>1128.1484133191136</v>
      </c>
      <c r="DH98">
        <f t="shared" si="264"/>
        <v>9.6761809178942074E-2</v>
      </c>
      <c r="DI98">
        <f t="shared" si="201"/>
        <v>5.8126886659889592E-3</v>
      </c>
      <c r="DJ98" s="1">
        <v>353523</v>
      </c>
      <c r="DK98">
        <f t="shared" si="278"/>
        <v>2.2123948633223192</v>
      </c>
      <c r="DL98">
        <v>1889.3069949999999</v>
      </c>
      <c r="DM98" s="1">
        <v>662610</v>
      </c>
      <c r="DN98" s="3">
        <f t="shared" si="202"/>
        <v>1.1710086657051302E-3</v>
      </c>
      <c r="DO98" s="1">
        <v>1730061</v>
      </c>
      <c r="DP98" s="1">
        <f t="shared" si="203"/>
        <v>2110674.42</v>
      </c>
      <c r="DQ98" s="3">
        <f t="shared" si="279"/>
        <v>11.715555173179396</v>
      </c>
      <c r="DR98" s="3">
        <f t="shared" si="204"/>
        <v>1905.8896083399998</v>
      </c>
      <c r="DS98" s="3">
        <f t="shared" si="205"/>
        <v>603747.98755407194</v>
      </c>
      <c r="DT98" s="3">
        <f t="shared" si="206"/>
        <v>6.1470271530487345E-3</v>
      </c>
      <c r="DU98" s="3">
        <f t="shared" si="207"/>
        <v>0.9111664290518886</v>
      </c>
      <c r="DV98" s="3">
        <f t="shared" si="208"/>
        <v>367.55717583740687</v>
      </c>
      <c r="DW98" s="3">
        <f t="shared" si="209"/>
        <v>9.4034780635688306E-2</v>
      </c>
      <c r="DX98" s="3">
        <f t="shared" si="210"/>
        <v>88090661.441</v>
      </c>
      <c r="DY98" s="3">
        <f t="shared" si="248"/>
        <v>551.28330229923904</v>
      </c>
      <c r="DZ98" s="3">
        <f t="shared" si="211"/>
        <v>87865931</v>
      </c>
      <c r="EA98" s="3">
        <f t="shared" si="212"/>
        <v>96512.94</v>
      </c>
      <c r="EB98" s="3">
        <f t="shared" si="249"/>
        <v>0.58174669383129796</v>
      </c>
      <c r="EC98" s="3">
        <f t="shared" si="213"/>
        <v>180044.79999999999</v>
      </c>
      <c r="ED98" s="3">
        <f t="shared" si="250"/>
        <v>1.0592365981079681</v>
      </c>
      <c r="EE98" s="9">
        <f t="shared" si="214"/>
        <v>100715237.06</v>
      </c>
      <c r="EF98" s="13">
        <f t="shared" si="251"/>
        <v>559.03217728685615</v>
      </c>
      <c r="EG98" s="14">
        <f t="shared" si="252"/>
        <v>1.4056066917497513E-2</v>
      </c>
      <c r="EH98" s="9">
        <f t="shared" si="215"/>
        <v>100501191.72</v>
      </c>
      <c r="EI98" s="10">
        <v>150256</v>
      </c>
      <c r="EJ98" s="10">
        <f t="shared" si="280"/>
        <v>196835.36000000002</v>
      </c>
      <c r="EK98" s="10">
        <f t="shared" si="253"/>
        <v>1.1864556183771142</v>
      </c>
      <c r="EL98" s="10">
        <v>152000</v>
      </c>
      <c r="EM98" s="10">
        <f t="shared" si="281"/>
        <v>194560</v>
      </c>
      <c r="EN98" s="10">
        <f t="shared" si="254"/>
        <v>1.1446321833670636</v>
      </c>
      <c r="EO98" s="11">
        <v>901633</v>
      </c>
      <c r="EP98" s="11">
        <f t="shared" si="282"/>
        <v>1099992.26</v>
      </c>
      <c r="EQ98" s="11">
        <f t="shared" si="255"/>
        <v>6.1056408747779756</v>
      </c>
      <c r="ER98" s="10">
        <f t="shared" si="256"/>
        <v>8.4367286765221543</v>
      </c>
      <c r="ES98" s="10">
        <f t="shared" si="216"/>
        <v>5.6537431126644737</v>
      </c>
      <c r="ET98" s="12">
        <v>108363</v>
      </c>
      <c r="EU98" s="12">
        <f t="shared" si="283"/>
        <v>141955.53</v>
      </c>
      <c r="EV98" s="12">
        <f t="shared" si="257"/>
        <v>0.85565894323154634</v>
      </c>
      <c r="EW98" s="10">
        <v>29000</v>
      </c>
      <c r="EX98" s="10">
        <f t="shared" si="284"/>
        <v>37120</v>
      </c>
      <c r="EY98" s="10">
        <f t="shared" si="258"/>
        <v>0.21838377182661081</v>
      </c>
      <c r="EZ98" s="3">
        <f t="shared" si="217"/>
        <v>163958.55026726975</v>
      </c>
      <c r="FA98" s="3">
        <f t="shared" si="259"/>
        <v>0.91007188203413492</v>
      </c>
      <c r="FB98" s="3">
        <f t="shared" si="260"/>
        <v>1.984114597092292</v>
      </c>
      <c r="FC98" s="1">
        <f t="shared" si="218"/>
        <v>0.36299880000000001</v>
      </c>
      <c r="FD98">
        <v>0.37069879999999999</v>
      </c>
      <c r="FE98">
        <v>4.2050907000000004</v>
      </c>
      <c r="FF98" s="7">
        <f t="shared" si="219"/>
        <v>13.791070450000003</v>
      </c>
      <c r="FG98" s="1">
        <f t="shared" si="220"/>
        <v>1.9171959500000002</v>
      </c>
      <c r="FH98">
        <v>2.63E-2</v>
      </c>
      <c r="FI98">
        <v>3.4000000000000002E-2</v>
      </c>
      <c r="FJ98">
        <v>4.41E-2</v>
      </c>
      <c r="FK98">
        <v>4.0899999999999999E-2</v>
      </c>
      <c r="FL98" s="1">
        <f t="shared" si="221"/>
        <v>2.5666666666666672E-3</v>
      </c>
    </row>
    <row r="99" spans="1:168">
      <c r="A99" t="s">
        <v>124</v>
      </c>
      <c r="B99" s="1" t="s">
        <v>70</v>
      </c>
      <c r="C99" s="1">
        <v>213239</v>
      </c>
      <c r="D99" s="6">
        <v>219768</v>
      </c>
      <c r="E99" s="6">
        <v>224121</v>
      </c>
      <c r="F99" s="1">
        <v>325002</v>
      </c>
      <c r="G99" s="1">
        <f t="shared" si="265"/>
        <v>11176.3</v>
      </c>
      <c r="H99" s="1">
        <v>1.31</v>
      </c>
      <c r="I99" s="1">
        <v>1.28</v>
      </c>
      <c r="J99" s="1">
        <v>1.22</v>
      </c>
      <c r="K99" s="1">
        <v>95184</v>
      </c>
      <c r="L99">
        <f t="shared" si="225"/>
        <v>0.44637238028690812</v>
      </c>
      <c r="M99" s="1">
        <v>100519</v>
      </c>
      <c r="N99">
        <f t="shared" si="226"/>
        <v>0.30928732746260024</v>
      </c>
      <c r="O99">
        <f t="shared" si="227"/>
        <v>-0.30710917359222756</v>
      </c>
      <c r="P99">
        <f t="shared" si="228"/>
        <v>8.3446046282705771E-2</v>
      </c>
      <c r="Q99">
        <f t="shared" si="229"/>
        <v>4.9127695743090297E-2</v>
      </c>
      <c r="R99">
        <f t="shared" si="230"/>
        <v>549.78380861759433</v>
      </c>
      <c r="S99">
        <f t="shared" si="231"/>
        <v>525.52124010125169</v>
      </c>
      <c r="T99">
        <f t="shared" si="232"/>
        <v>1141.2995045606103</v>
      </c>
      <c r="U99">
        <v>92297.113769999996</v>
      </c>
      <c r="V99">
        <f t="shared" si="233"/>
        <v>1.2365495062008919E-2</v>
      </c>
      <c r="W99">
        <f t="shared" si="234"/>
        <v>1413.8172530015199</v>
      </c>
      <c r="X99">
        <v>79429.064259999999</v>
      </c>
      <c r="Y99">
        <f t="shared" si="235"/>
        <v>1.7799747059509423E-2</v>
      </c>
      <c r="Z99" s="1">
        <v>10726</v>
      </c>
      <c r="AA99" s="1">
        <f t="shared" si="236"/>
        <v>5.0300367193618425E-2</v>
      </c>
      <c r="AB99" s="1">
        <v>106084</v>
      </c>
      <c r="AC99" s="1">
        <f t="shared" si="266"/>
        <v>0.49748873329925575</v>
      </c>
      <c r="AD99" s="1">
        <v>61.278341249999997</v>
      </c>
      <c r="AE99" s="1">
        <v>13893</v>
      </c>
      <c r="AF99">
        <f t="shared" si="165"/>
        <v>1.2952638448629499</v>
      </c>
      <c r="AG99">
        <f t="shared" si="166"/>
        <v>0.13096225632517627</v>
      </c>
      <c r="AH99">
        <f t="shared" si="222"/>
        <v>8.1185084836031818E-3</v>
      </c>
      <c r="AI99">
        <v>67438</v>
      </c>
      <c r="AJ99">
        <f t="shared" si="167"/>
        <v>88343.78</v>
      </c>
      <c r="AK99">
        <f t="shared" si="267"/>
        <v>0.40198654945214951</v>
      </c>
      <c r="AL99">
        <f t="shared" si="168"/>
        <v>40.567501634999999</v>
      </c>
      <c r="AM99">
        <f t="shared" si="169"/>
        <v>9.9090782831282812E-3</v>
      </c>
      <c r="AN99">
        <v>82.9</v>
      </c>
      <c r="AO99">
        <f t="shared" si="170"/>
        <v>82900</v>
      </c>
      <c r="AP99">
        <f t="shared" si="171"/>
        <v>106112</v>
      </c>
      <c r="AQ99">
        <f t="shared" si="268"/>
        <v>0.47345853355999662</v>
      </c>
      <c r="AR99">
        <f t="shared" si="172"/>
        <v>51.759606732800002</v>
      </c>
      <c r="AS99">
        <f t="shared" si="173"/>
        <v>9.1472590973139395E-3</v>
      </c>
      <c r="AT99" s="1">
        <v>15104</v>
      </c>
      <c r="AU99" s="1">
        <f t="shared" si="237"/>
        <v>4.6473560162706692E-2</v>
      </c>
      <c r="AV99" s="1">
        <f t="shared" si="238"/>
        <v>-7.6079107259424489E-2</v>
      </c>
      <c r="AW99" s="1">
        <v>112165</v>
      </c>
      <c r="AX99" s="1">
        <f t="shared" si="174"/>
        <v>136841.29999999999</v>
      </c>
      <c r="AY99" s="1">
        <f t="shared" si="269"/>
        <v>0.421047562784229</v>
      </c>
      <c r="AZ99" s="1">
        <f t="shared" si="239"/>
        <v>-0.15365407374772622</v>
      </c>
      <c r="BA99" s="1">
        <f t="shared" si="175"/>
        <v>60.4858519474</v>
      </c>
      <c r="BB99" s="1">
        <v>14872</v>
      </c>
      <c r="BC99" s="1">
        <f t="shared" si="176"/>
        <v>18143.84</v>
      </c>
      <c r="BD99" s="1">
        <f t="shared" si="177"/>
        <v>1.2012605932203391</v>
      </c>
      <c r="BE99" s="1">
        <f t="shared" si="178"/>
        <v>0.13259038024339145</v>
      </c>
      <c r="BF99" s="1">
        <f t="shared" si="179"/>
        <v>6.9610917136520194E-3</v>
      </c>
      <c r="BG99" s="1">
        <v>7143</v>
      </c>
      <c r="BH99" s="1">
        <f t="shared" si="240"/>
        <v>3.3497624730935711E-2</v>
      </c>
      <c r="BI99" s="1">
        <v>233611.05300000001</v>
      </c>
      <c r="BJ99" s="1">
        <f t="shared" si="270"/>
        <v>1.0955362433701152</v>
      </c>
      <c r="BK99" s="1">
        <v>101.2013381</v>
      </c>
      <c r="BL99" s="1">
        <v>11219.790999999999</v>
      </c>
      <c r="BM99">
        <f t="shared" si="271"/>
        <v>1.5707393252134956</v>
      </c>
      <c r="BN99">
        <f t="shared" si="272"/>
        <v>4.8027654753133614E-2</v>
      </c>
      <c r="BO99">
        <f t="shared" si="180"/>
        <v>1.0825313814404151E-2</v>
      </c>
      <c r="BP99">
        <v>104045</v>
      </c>
      <c r="BQ99">
        <f t="shared" si="181"/>
        <v>136298.95000000001</v>
      </c>
      <c r="BR99">
        <f t="shared" si="273"/>
        <v>0.62019470532561616</v>
      </c>
      <c r="BS99">
        <f t="shared" si="182"/>
        <v>59.525235619600004</v>
      </c>
      <c r="BT99">
        <f t="shared" si="183"/>
        <v>1.0419021426290722E-2</v>
      </c>
      <c r="BU99">
        <v>101.53</v>
      </c>
      <c r="BV99">
        <f t="shared" si="184"/>
        <v>101530</v>
      </c>
      <c r="BW99">
        <f t="shared" si="185"/>
        <v>129958.40000000001</v>
      </c>
      <c r="BX99">
        <f t="shared" si="274"/>
        <v>0.57985820159645907</v>
      </c>
      <c r="BY99">
        <f t="shared" si="186"/>
        <v>76.247206297600002</v>
      </c>
      <c r="BZ99">
        <f t="shared" si="187"/>
        <v>7.6049763624547514E-3</v>
      </c>
      <c r="CA99" s="1">
        <v>9017</v>
      </c>
      <c r="CB99" s="1">
        <f t="shared" si="241"/>
        <v>2.7744444649571386E-2</v>
      </c>
      <c r="CC99" s="1">
        <f t="shared" si="242"/>
        <v>-0.17174889645387753</v>
      </c>
      <c r="CD99" s="1">
        <v>210615</v>
      </c>
      <c r="CE99" s="1">
        <f t="shared" si="188"/>
        <v>256950.3</v>
      </c>
      <c r="CF99">
        <f t="shared" si="275"/>
        <v>0.79061144239112369</v>
      </c>
      <c r="CG99">
        <f t="shared" si="243"/>
        <v>-0.27833383224362751</v>
      </c>
      <c r="CH99">
        <f t="shared" si="189"/>
        <v>90.917938902799989</v>
      </c>
      <c r="CI99" s="1">
        <v>13298</v>
      </c>
      <c r="CJ99" s="1">
        <f t="shared" si="190"/>
        <v>16223.56</v>
      </c>
      <c r="CK99">
        <f t="shared" si="191"/>
        <v>1.799219252523012</v>
      </c>
      <c r="CL99">
        <f t="shared" si="192"/>
        <v>6.3138902737221947E-2</v>
      </c>
      <c r="CM99">
        <f t="shared" si="193"/>
        <v>8.6958795143427439E-3</v>
      </c>
      <c r="CN99" s="1">
        <v>18336</v>
      </c>
      <c r="CO99" s="1">
        <f t="shared" si="244"/>
        <v>8.5988022828844629E-2</v>
      </c>
      <c r="CP99" s="1">
        <v>243029870</v>
      </c>
      <c r="CQ99" s="1">
        <f t="shared" si="276"/>
        <v>1139.706479583941</v>
      </c>
      <c r="CR99" s="1">
        <v>108123.0123</v>
      </c>
      <c r="CS99" s="1">
        <v>19879810</v>
      </c>
      <c r="CT99">
        <f t="shared" si="194"/>
        <v>1084.1955715532285</v>
      </c>
      <c r="CU99">
        <f t="shared" si="195"/>
        <v>8.1799862708234181E-2</v>
      </c>
      <c r="CV99">
        <f t="shared" si="196"/>
        <v>1.0540831737296511E-2</v>
      </c>
      <c r="CW99" s="1">
        <v>18940</v>
      </c>
      <c r="CX99" s="1">
        <f t="shared" si="245"/>
        <v>5.8276564451911067E-2</v>
      </c>
      <c r="CY99" s="1">
        <f t="shared" si="246"/>
        <v>-0.32227114271591056</v>
      </c>
      <c r="CZ99" s="1">
        <v>376311183</v>
      </c>
      <c r="DA99" s="1">
        <f t="shared" si="261"/>
        <v>459099643.25999999</v>
      </c>
      <c r="DB99" s="1">
        <f t="shared" si="277"/>
        <v>1412.6055939963446</v>
      </c>
      <c r="DC99" s="1">
        <f t="shared" si="247"/>
        <v>0.23944683942836545</v>
      </c>
      <c r="DD99" s="1">
        <f t="shared" si="197"/>
        <v>93954.54819500001</v>
      </c>
      <c r="DE99" s="1">
        <v>18520576</v>
      </c>
      <c r="DF99" s="1">
        <f t="shared" si="262"/>
        <v>22595102.719999999</v>
      </c>
      <c r="DG99">
        <f t="shared" si="263"/>
        <v>1192.9832481520591</v>
      </c>
      <c r="DH99">
        <f t="shared" si="264"/>
        <v>4.9216119096837999E-2</v>
      </c>
      <c r="DI99">
        <f t="shared" si="201"/>
        <v>1.5034988950875711E-2</v>
      </c>
      <c r="DJ99" s="1">
        <v>21161</v>
      </c>
      <c r="DK99">
        <f t="shared" si="278"/>
        <v>9.9236068449017306E-2</v>
      </c>
      <c r="DL99">
        <v>1889.3069949999999</v>
      </c>
      <c r="DM99" s="1">
        <v>405071</v>
      </c>
      <c r="DN99" s="3">
        <f t="shared" si="202"/>
        <v>5.2525115670265808E-5</v>
      </c>
      <c r="DO99" s="1">
        <v>927934</v>
      </c>
      <c r="DP99" s="1">
        <f t="shared" si="203"/>
        <v>1132079.48</v>
      </c>
      <c r="DQ99" s="3">
        <f t="shared" si="279"/>
        <v>3.4833000412305153</v>
      </c>
      <c r="DR99" s="3">
        <f t="shared" si="204"/>
        <v>1905.8896083399998</v>
      </c>
      <c r="DS99" s="3">
        <f t="shared" si="205"/>
        <v>460516.33494017698</v>
      </c>
      <c r="DT99" s="3">
        <f t="shared" si="206"/>
        <v>1.8276504714585307E-3</v>
      </c>
      <c r="DU99" s="3">
        <f t="shared" si="207"/>
        <v>1.1368780656728745</v>
      </c>
      <c r="DV99" s="3">
        <f t="shared" si="208"/>
        <v>380.50755045351792</v>
      </c>
      <c r="DW99" s="3">
        <f t="shared" si="209"/>
        <v>8.4289195977332573E-2</v>
      </c>
      <c r="DX99" s="3">
        <f t="shared" si="210"/>
        <v>243390726.053</v>
      </c>
      <c r="DY99" s="3">
        <f t="shared" si="248"/>
        <v>1141.3987406290594</v>
      </c>
      <c r="DZ99" s="3">
        <f t="shared" si="211"/>
        <v>243051031</v>
      </c>
      <c r="EA99" s="3">
        <f t="shared" si="212"/>
        <v>224642.73</v>
      </c>
      <c r="EB99" s="3">
        <f t="shared" si="249"/>
        <v>1.0221812547777658</v>
      </c>
      <c r="EC99" s="3">
        <f t="shared" si="213"/>
        <v>236070.40000000002</v>
      </c>
      <c r="ED99" s="3">
        <f t="shared" si="250"/>
        <v>1.0533167351564559</v>
      </c>
      <c r="EE99" s="9">
        <f t="shared" si="214"/>
        <v>460625514.34000003</v>
      </c>
      <c r="EF99" s="13">
        <f t="shared" si="251"/>
        <v>1417.3005530427506</v>
      </c>
      <c r="EG99" s="14">
        <f t="shared" si="252"/>
        <v>0.24172254847734753</v>
      </c>
      <c r="EH99" s="9">
        <f t="shared" si="215"/>
        <v>460231722.74000001</v>
      </c>
      <c r="EI99" s="10">
        <v>143357</v>
      </c>
      <c r="EJ99" s="10">
        <f t="shared" si="280"/>
        <v>187797.67</v>
      </c>
      <c r="EK99" s="10">
        <f t="shared" si="253"/>
        <v>0.85452691019620697</v>
      </c>
      <c r="EL99" s="10">
        <v>199000</v>
      </c>
      <c r="EM99" s="10">
        <f t="shared" si="281"/>
        <v>254720</v>
      </c>
      <c r="EN99" s="10">
        <f t="shared" si="254"/>
        <v>1.136528928569835</v>
      </c>
      <c r="EO99" s="11">
        <v>1673322</v>
      </c>
      <c r="EP99" s="11">
        <f t="shared" si="282"/>
        <v>2041452.8399999999</v>
      </c>
      <c r="EQ99" s="11">
        <f t="shared" si="255"/>
        <v>6.2813546993556955</v>
      </c>
      <c r="ER99" s="10">
        <f t="shared" si="256"/>
        <v>8.2724105381217381</v>
      </c>
      <c r="ES99" s="10">
        <f t="shared" si="216"/>
        <v>8.0144976444723603</v>
      </c>
      <c r="ET99" s="12">
        <v>52362</v>
      </c>
      <c r="EU99" s="12">
        <f t="shared" si="283"/>
        <v>68594.22</v>
      </c>
      <c r="EV99" s="12">
        <f t="shared" si="257"/>
        <v>0.31212105493065417</v>
      </c>
      <c r="EW99" s="10">
        <v>14000</v>
      </c>
      <c r="EX99" s="10">
        <f t="shared" si="284"/>
        <v>17920</v>
      </c>
      <c r="EY99" s="10">
        <f t="shared" si="258"/>
        <v>7.9956809045114027E-2</v>
      </c>
      <c r="EZ99" s="3">
        <f t="shared" si="217"/>
        <v>112202.96702261304</v>
      </c>
      <c r="FA99" s="3">
        <f t="shared" si="259"/>
        <v>0.34523777399096939</v>
      </c>
      <c r="FB99" s="3">
        <f t="shared" si="260"/>
        <v>0.7373156379667376</v>
      </c>
      <c r="FC99" s="1">
        <f t="shared" si="218"/>
        <v>0.50038969999999994</v>
      </c>
      <c r="FD99">
        <v>0.50808969999999998</v>
      </c>
      <c r="FE99">
        <v>5.9358671999999997</v>
      </c>
      <c r="FF99" s="7">
        <f t="shared" si="219"/>
        <v>19.505310949999998</v>
      </c>
      <c r="FG99" s="1">
        <f t="shared" si="220"/>
        <v>2.7138887499999997</v>
      </c>
      <c r="FH99">
        <v>2.63E-2</v>
      </c>
      <c r="FI99">
        <v>3.4000000000000002E-2</v>
      </c>
      <c r="FJ99">
        <v>4.41E-2</v>
      </c>
      <c r="FK99">
        <v>4.0899999999999999E-2</v>
      </c>
      <c r="FL99" s="1">
        <f t="shared" si="221"/>
        <v>2.5666666666666672E-3</v>
      </c>
    </row>
    <row r="100" spans="1:168">
      <c r="A100" t="s">
        <v>124</v>
      </c>
      <c r="B100" s="1" t="s">
        <v>71</v>
      </c>
      <c r="C100" s="1">
        <v>104495</v>
      </c>
      <c r="D100" s="6">
        <v>106802</v>
      </c>
      <c r="E100" s="6">
        <v>108340</v>
      </c>
      <c r="F100" s="1">
        <v>112184</v>
      </c>
      <c r="G100" s="1">
        <f t="shared" si="265"/>
        <v>768.9</v>
      </c>
      <c r="H100" s="1">
        <v>1.31</v>
      </c>
      <c r="I100" s="1">
        <v>1.28</v>
      </c>
      <c r="J100" s="1">
        <v>1.22</v>
      </c>
      <c r="K100" s="1">
        <v>39265</v>
      </c>
      <c r="L100">
        <f t="shared" si="225"/>
        <v>0.37575960572276185</v>
      </c>
      <c r="M100" s="1">
        <v>40646</v>
      </c>
      <c r="N100">
        <f t="shared" si="226"/>
        <v>0.36231548170862155</v>
      </c>
      <c r="O100">
        <f t="shared" si="227"/>
        <v>-3.5778523847130803E-2</v>
      </c>
      <c r="P100">
        <f t="shared" si="228"/>
        <v>0.27808412108750341</v>
      </c>
      <c r="Q100">
        <f t="shared" si="229"/>
        <v>0.20067385046035552</v>
      </c>
      <c r="R100">
        <f t="shared" si="230"/>
        <v>831.86284534138065</v>
      </c>
      <c r="S100">
        <f t="shared" si="231"/>
        <v>677.15396603670229</v>
      </c>
      <c r="T100">
        <f t="shared" si="232"/>
        <v>540.76160569405238</v>
      </c>
      <c r="U100">
        <v>92297.113769999996</v>
      </c>
      <c r="V100">
        <f t="shared" si="233"/>
        <v>5.8589221656660303E-3</v>
      </c>
      <c r="W100">
        <f t="shared" si="234"/>
        <v>428.68838586607717</v>
      </c>
      <c r="X100">
        <v>79429.064259999999</v>
      </c>
      <c r="Y100">
        <f t="shared" si="235"/>
        <v>5.3971224495711709E-3</v>
      </c>
      <c r="Z100" s="1">
        <v>4962</v>
      </c>
      <c r="AA100" s="1">
        <f t="shared" si="236"/>
        <v>4.7485525623235561E-2</v>
      </c>
      <c r="AB100" s="1">
        <v>46589</v>
      </c>
      <c r="AC100" s="1">
        <f t="shared" si="266"/>
        <v>0.44584908368821474</v>
      </c>
      <c r="AD100" s="1">
        <v>61.278341249999997</v>
      </c>
      <c r="AE100" s="1">
        <v>6060</v>
      </c>
      <c r="AF100">
        <f t="shared" si="165"/>
        <v>1.2212817412333736</v>
      </c>
      <c r="AG100">
        <f t="shared" si="166"/>
        <v>0.13007362252892313</v>
      </c>
      <c r="AH100">
        <f t="shared" si="222"/>
        <v>7.275802095707262E-3</v>
      </c>
      <c r="AI100">
        <v>25720</v>
      </c>
      <c r="AJ100">
        <f t="shared" si="167"/>
        <v>33693.200000000004</v>
      </c>
      <c r="AK100">
        <f t="shared" si="267"/>
        <v>0.31547349300574901</v>
      </c>
      <c r="AL100">
        <f t="shared" si="168"/>
        <v>40.567501634999999</v>
      </c>
      <c r="AM100">
        <f t="shared" si="169"/>
        <v>7.7765078028263698E-3</v>
      </c>
      <c r="AN100">
        <v>32.130000000000003</v>
      </c>
      <c r="AO100">
        <f t="shared" si="170"/>
        <v>32130.000000000004</v>
      </c>
      <c r="AP100">
        <f t="shared" si="171"/>
        <v>41126.400000000009</v>
      </c>
      <c r="AQ100">
        <f t="shared" si="268"/>
        <v>0.37960494738785311</v>
      </c>
      <c r="AR100">
        <f t="shared" si="172"/>
        <v>51.759606732800002</v>
      </c>
      <c r="AS100">
        <f t="shared" si="173"/>
        <v>7.3339998378947864E-3</v>
      </c>
      <c r="AT100" s="1">
        <v>5413</v>
      </c>
      <c r="AU100" s="1">
        <f t="shared" si="237"/>
        <v>4.8251087499108607E-2</v>
      </c>
      <c r="AV100" s="1">
        <f t="shared" si="238"/>
        <v>1.6122004880966122E-2</v>
      </c>
      <c r="AW100" s="1">
        <v>41208</v>
      </c>
      <c r="AX100" s="1">
        <f t="shared" si="174"/>
        <v>50273.760000000002</v>
      </c>
      <c r="AY100" s="1">
        <f t="shared" si="269"/>
        <v>0.44813663267489129</v>
      </c>
      <c r="AZ100" s="1">
        <f t="shared" si="239"/>
        <v>5.1307697388389044E-3</v>
      </c>
      <c r="BA100" s="1">
        <f t="shared" si="175"/>
        <v>60.4858519474</v>
      </c>
      <c r="BB100" s="1">
        <v>4973</v>
      </c>
      <c r="BC100" s="1">
        <f t="shared" si="176"/>
        <v>6067.0599999999995</v>
      </c>
      <c r="BD100" s="1">
        <f t="shared" si="177"/>
        <v>1.1208313319785701</v>
      </c>
      <c r="BE100" s="1">
        <f t="shared" si="178"/>
        <v>0.12068045039798096</v>
      </c>
      <c r="BF100" s="1">
        <f t="shared" si="179"/>
        <v>7.4089496675123637E-3</v>
      </c>
      <c r="BG100" s="1">
        <v>1358</v>
      </c>
      <c r="BH100" s="1">
        <f t="shared" si="240"/>
        <v>1.2995837121393367E-2</v>
      </c>
      <c r="BI100" s="1">
        <v>39013.987000000001</v>
      </c>
      <c r="BJ100" s="1">
        <f t="shared" si="270"/>
        <v>0.37335745250968949</v>
      </c>
      <c r="BK100" s="1">
        <v>101.2013381</v>
      </c>
      <c r="BL100" s="1">
        <v>2028.8209999999999</v>
      </c>
      <c r="BM100">
        <f t="shared" si="271"/>
        <v>1.4939771723122237</v>
      </c>
      <c r="BN100">
        <f t="shared" si="272"/>
        <v>5.2002401087589432E-2</v>
      </c>
      <c r="BO100">
        <f t="shared" si="180"/>
        <v>3.6892541098692199E-3</v>
      </c>
      <c r="BP100">
        <v>23237</v>
      </c>
      <c r="BQ100">
        <f t="shared" si="181"/>
        <v>30440.47</v>
      </c>
      <c r="BR100">
        <f t="shared" si="273"/>
        <v>0.28501778992902754</v>
      </c>
      <c r="BS100">
        <f t="shared" si="182"/>
        <v>59.525235619600004</v>
      </c>
      <c r="BT100">
        <f t="shared" si="183"/>
        <v>4.788184153532004E-3</v>
      </c>
      <c r="BU100">
        <v>26.83</v>
      </c>
      <c r="BV100">
        <f t="shared" si="184"/>
        <v>26830</v>
      </c>
      <c r="BW100">
        <f t="shared" si="185"/>
        <v>34342.400000000001</v>
      </c>
      <c r="BX100">
        <f t="shared" si="274"/>
        <v>0.31698726232231866</v>
      </c>
      <c r="BY100">
        <f t="shared" si="186"/>
        <v>76.247206297600002</v>
      </c>
      <c r="BZ100">
        <f t="shared" si="187"/>
        <v>4.1573623181036645E-3</v>
      </c>
      <c r="CA100" s="1">
        <v>1437</v>
      </c>
      <c r="CB100" s="1">
        <f t="shared" si="241"/>
        <v>1.2809313271054695E-2</v>
      </c>
      <c r="CC100" s="1">
        <f t="shared" si="242"/>
        <v>-1.4352584492738973E-2</v>
      </c>
      <c r="CD100" s="1">
        <v>38521</v>
      </c>
      <c r="CE100" s="1">
        <f t="shared" si="188"/>
        <v>46995.619999999995</v>
      </c>
      <c r="CF100">
        <f t="shared" si="275"/>
        <v>0.41891553162661338</v>
      </c>
      <c r="CG100">
        <f t="shared" si="243"/>
        <v>0.12202268579530109</v>
      </c>
      <c r="CH100">
        <f t="shared" si="189"/>
        <v>90.917938902799989</v>
      </c>
      <c r="CI100" s="1">
        <v>2104</v>
      </c>
      <c r="CJ100" s="1">
        <f t="shared" si="190"/>
        <v>2566.88</v>
      </c>
      <c r="CK100">
        <f t="shared" si="191"/>
        <v>1.786276965901183</v>
      </c>
      <c r="CL100">
        <f t="shared" si="192"/>
        <v>5.4619558163079888E-2</v>
      </c>
      <c r="CM100">
        <f t="shared" si="193"/>
        <v>4.6076223975388877E-3</v>
      </c>
      <c r="CN100" s="1">
        <v>12237</v>
      </c>
      <c r="CO100" s="1">
        <f t="shared" si="244"/>
        <v>0.11710608163070003</v>
      </c>
      <c r="CP100" s="1">
        <v>56421281</v>
      </c>
      <c r="CQ100" s="1">
        <f t="shared" ref="CQ100:CQ107" si="287">CP100/C100</f>
        <v>539.94239915785442</v>
      </c>
      <c r="CR100" s="1">
        <v>108123.0123</v>
      </c>
      <c r="CS100" s="1">
        <v>15428790</v>
      </c>
      <c r="CT100">
        <f t="shared" si="194"/>
        <v>1260.8310860505026</v>
      </c>
      <c r="CU100">
        <f t="shared" si="195"/>
        <v>0.27345692487910722</v>
      </c>
      <c r="CV100">
        <f t="shared" si="196"/>
        <v>4.9937787310227796E-3</v>
      </c>
      <c r="CW100" s="1">
        <v>7754</v>
      </c>
      <c r="CX100" s="1">
        <f t="shared" si="245"/>
        <v>6.9118590886400919E-2</v>
      </c>
      <c r="CY100" s="1">
        <f t="shared" si="246"/>
        <v>-0.40977795581642035</v>
      </c>
      <c r="CZ100" s="1">
        <v>39339925</v>
      </c>
      <c r="DA100" s="1">
        <f t="shared" ref="DA100:DA107" si="288">CZ100*J100</f>
        <v>47994708.5</v>
      </c>
      <c r="DB100" s="1">
        <f t="shared" si="277"/>
        <v>427.82133370177564</v>
      </c>
      <c r="DC100" s="1">
        <f t="shared" si="247"/>
        <v>-0.20765375275391129</v>
      </c>
      <c r="DD100" s="1">
        <f t="shared" si="197"/>
        <v>93954.54819500001</v>
      </c>
      <c r="DE100" s="1">
        <v>8098789</v>
      </c>
      <c r="DF100" s="1">
        <f t="shared" si="262"/>
        <v>9880522.5800000001</v>
      </c>
      <c r="DG100">
        <f t="shared" si="263"/>
        <v>1274.2484627289141</v>
      </c>
      <c r="DH100">
        <f t="shared" si="264"/>
        <v>0.20586691509960936</v>
      </c>
      <c r="DI100">
        <f t="shared" si="201"/>
        <v>4.5534925335795834E-3</v>
      </c>
      <c r="DJ100" s="1">
        <v>2854</v>
      </c>
      <c r="DK100">
        <f t="shared" si="278"/>
        <v>2.7312311593856164E-2</v>
      </c>
      <c r="DL100">
        <v>1889.3069949999999</v>
      </c>
      <c r="DM100" s="1">
        <v>277582</v>
      </c>
      <c r="DN100" s="3">
        <f t="shared" si="202"/>
        <v>1.4456259181878574E-5</v>
      </c>
      <c r="DO100" s="1">
        <v>973581</v>
      </c>
      <c r="DP100" s="1">
        <f t="shared" ref="DP100:DP107" si="289">DO100*J100</f>
        <v>1187768.82</v>
      </c>
      <c r="DQ100" s="3">
        <f t="shared" si="279"/>
        <v>10.587684696569921</v>
      </c>
      <c r="DR100" s="3">
        <f t="shared" si="204"/>
        <v>1905.8896083399998</v>
      </c>
      <c r="DS100" s="3">
        <f t="shared" si="205"/>
        <v>177824.27892096489</v>
      </c>
      <c r="DT100" s="3">
        <f t="shared" si="206"/>
        <v>5.5552455138215637E-3</v>
      </c>
      <c r="DU100" s="3">
        <f t="shared" si="207"/>
        <v>0.64061891232488022</v>
      </c>
      <c r="DV100" s="3">
        <f t="shared" si="208"/>
        <v>423.45031933180695</v>
      </c>
      <c r="DW100" s="3">
        <f t="shared" si="209"/>
        <v>0.139449978692715</v>
      </c>
      <c r="DX100" s="3">
        <f t="shared" si="210"/>
        <v>56509737.987000003</v>
      </c>
      <c r="DY100" s="3">
        <f t="shared" si="248"/>
        <v>540.78891800564622</v>
      </c>
      <c r="DZ100" s="3">
        <f t="shared" si="211"/>
        <v>56424135</v>
      </c>
      <c r="EA100" s="3">
        <f t="shared" si="212"/>
        <v>64133.670000000006</v>
      </c>
      <c r="EB100" s="3">
        <f t="shared" si="249"/>
        <v>0.6004912829347766</v>
      </c>
      <c r="EC100" s="3">
        <f t="shared" si="213"/>
        <v>75468.800000000017</v>
      </c>
      <c r="ED100" s="3">
        <f t="shared" si="250"/>
        <v>0.69659220971017188</v>
      </c>
      <c r="EE100" s="9">
        <f t="shared" si="214"/>
        <v>49279746.700000003</v>
      </c>
      <c r="EF100" s="13">
        <f t="shared" si="251"/>
        <v>439.27607056264708</v>
      </c>
      <c r="EG100" s="14">
        <f t="shared" si="252"/>
        <v>-0.18771251418643028</v>
      </c>
      <c r="EH100" s="9">
        <f t="shared" si="215"/>
        <v>49182477.32</v>
      </c>
      <c r="EI100" s="10">
        <v>26070</v>
      </c>
      <c r="EJ100" s="10">
        <f t="shared" si="280"/>
        <v>34151.700000000004</v>
      </c>
      <c r="EK100" s="10">
        <f t="shared" si="253"/>
        <v>0.31976648377371214</v>
      </c>
      <c r="EL100" s="10">
        <v>97000</v>
      </c>
      <c r="EM100" s="10">
        <f t="shared" si="281"/>
        <v>124160</v>
      </c>
      <c r="EN100" s="10">
        <f t="shared" si="254"/>
        <v>1.1460217832748754</v>
      </c>
      <c r="EO100" s="11">
        <v>220548</v>
      </c>
      <c r="EP100" s="11">
        <f t="shared" si="282"/>
        <v>269068.56</v>
      </c>
      <c r="EQ100" s="11">
        <f t="shared" si="255"/>
        <v>2.3984575340512015</v>
      </c>
      <c r="ER100" s="10">
        <f t="shared" si="256"/>
        <v>3.8642458010997891</v>
      </c>
      <c r="ES100" s="10">
        <f t="shared" si="216"/>
        <v>2.1671114690721649</v>
      </c>
      <c r="ET100" s="12">
        <v>37670</v>
      </c>
      <c r="EU100" s="12">
        <f t="shared" si="283"/>
        <v>49347.700000000004</v>
      </c>
      <c r="EV100" s="12">
        <f t="shared" si="257"/>
        <v>0.46204846351191931</v>
      </c>
      <c r="EW100" s="10">
        <v>7000</v>
      </c>
      <c r="EX100" s="10">
        <f t="shared" si="284"/>
        <v>8960</v>
      </c>
      <c r="EY100" s="10">
        <f t="shared" si="258"/>
        <v>8.2702602916743584E-2</v>
      </c>
      <c r="EZ100" s="3">
        <f t="shared" si="217"/>
        <v>15169.780283505153</v>
      </c>
      <c r="FA100" s="3">
        <f t="shared" si="259"/>
        <v>0.13522231586951039</v>
      </c>
      <c r="FB100" s="3">
        <f t="shared" si="260"/>
        <v>0.67997338229817328</v>
      </c>
      <c r="FC100" s="1">
        <f t="shared" si="218"/>
        <v>0.32443450000000001</v>
      </c>
      <c r="FD100">
        <v>0.3321345</v>
      </c>
      <c r="FE100">
        <v>3.9762110000000002</v>
      </c>
      <c r="FF100" s="7">
        <f t="shared" si="219"/>
        <v>13.086402249999999</v>
      </c>
      <c r="FG100" s="1">
        <f t="shared" si="220"/>
        <v>1.8220382500000001</v>
      </c>
      <c r="FH100">
        <v>2.63E-2</v>
      </c>
      <c r="FI100">
        <v>3.4000000000000002E-2</v>
      </c>
      <c r="FJ100">
        <v>4.41E-2</v>
      </c>
      <c r="FK100">
        <v>4.0899999999999999E-2</v>
      </c>
      <c r="FL100" s="1">
        <f t="shared" si="221"/>
        <v>2.5666666666666672E-3</v>
      </c>
    </row>
    <row r="101" spans="1:168">
      <c r="A101" t="s">
        <v>141</v>
      </c>
      <c r="B101" s="1" t="s">
        <v>104</v>
      </c>
      <c r="C101" s="1">
        <v>463517</v>
      </c>
      <c r="D101" s="6">
        <f t="shared" ref="D101:D107" si="290">C101+G101*3</f>
        <v>475955.9</v>
      </c>
      <c r="E101" s="6">
        <f t="shared" ref="E101:E107" si="291">C101+G101*5</f>
        <v>484248.5</v>
      </c>
      <c r="F101" s="1">
        <v>504980</v>
      </c>
      <c r="G101" s="1">
        <f t="shared" si="265"/>
        <v>4146.3</v>
      </c>
      <c r="H101" s="1">
        <v>1.31</v>
      </c>
      <c r="I101" s="1">
        <v>1.28</v>
      </c>
      <c r="J101" s="1">
        <v>1.22</v>
      </c>
      <c r="K101">
        <v>213899</v>
      </c>
      <c r="L101">
        <f t="shared" si="225"/>
        <v>0.46146959011212102</v>
      </c>
      <c r="M101" s="1">
        <v>192240</v>
      </c>
      <c r="N101">
        <f t="shared" si="226"/>
        <v>0.38068834409283536</v>
      </c>
      <c r="O101">
        <f t="shared" si="227"/>
        <v>-0.17505215457351941</v>
      </c>
      <c r="P101">
        <f t="shared" si="228"/>
        <v>0.1873043629286984</v>
      </c>
      <c r="Q101">
        <f t="shared" si="229"/>
        <v>0.19229998118594155</v>
      </c>
      <c r="R101">
        <f t="shared" si="230"/>
        <v>603.22092820697605</v>
      </c>
      <c r="S101">
        <f t="shared" si="231"/>
        <v>645.44351833991846</v>
      </c>
      <c r="T101">
        <f t="shared" si="232"/>
        <v>494.50211458479407</v>
      </c>
      <c r="U101">
        <v>92297.113769999996</v>
      </c>
      <c r="V101">
        <f t="shared" si="233"/>
        <v>5.3577202404949493E-3</v>
      </c>
      <c r="W101">
        <f t="shared" si="234"/>
        <v>419.73245482989427</v>
      </c>
      <c r="X101">
        <v>79429.064259999999</v>
      </c>
      <c r="Y101">
        <f t="shared" si="235"/>
        <v>5.2843686217422681E-3</v>
      </c>
      <c r="Z101" s="1">
        <v>24965</v>
      </c>
      <c r="AA101" s="1">
        <f t="shared" si="236"/>
        <v>5.3859944726946371E-2</v>
      </c>
      <c r="AB101" s="1">
        <v>278092</v>
      </c>
      <c r="AC101" s="1">
        <f t="shared" si="266"/>
        <v>0.59996073498922364</v>
      </c>
      <c r="AD101" s="1">
        <v>61.278341249999997</v>
      </c>
      <c r="AE101" s="1">
        <v>35850</v>
      </c>
      <c r="AF101">
        <f t="shared" si="165"/>
        <v>1.4360104145804127</v>
      </c>
      <c r="AG101">
        <f t="shared" si="166"/>
        <v>0.12891417228830745</v>
      </c>
      <c r="AH101">
        <f t="shared" si="222"/>
        <v>9.7907469874476023E-3</v>
      </c>
      <c r="AI101">
        <v>142624</v>
      </c>
      <c r="AJ101">
        <f t="shared" si="167"/>
        <v>186837.44</v>
      </c>
      <c r="AK101">
        <f t="shared" si="267"/>
        <v>0.39255199904024718</v>
      </c>
      <c r="AL101">
        <f t="shared" si="168"/>
        <v>40.567501634999999</v>
      </c>
      <c r="AM101">
        <f t="shared" si="169"/>
        <v>9.6765140375706347E-3</v>
      </c>
      <c r="AN101">
        <v>184.41</v>
      </c>
      <c r="AO101">
        <f t="shared" si="170"/>
        <v>184410</v>
      </c>
      <c r="AP101">
        <f t="shared" si="171"/>
        <v>236044.80000000002</v>
      </c>
      <c r="AQ101">
        <f t="shared" si="268"/>
        <v>0.48744559869571102</v>
      </c>
      <c r="AR101">
        <f t="shared" si="172"/>
        <v>51.759606732800002</v>
      </c>
      <c r="AS101">
        <f t="shared" si="173"/>
        <v>9.4174903841921457E-3</v>
      </c>
      <c r="AT101" s="1">
        <v>26302</v>
      </c>
      <c r="AU101" s="1">
        <f t="shared" si="237"/>
        <v>5.2085231098261318E-2</v>
      </c>
      <c r="AV101" s="1">
        <f t="shared" si="238"/>
        <v>-3.2950528220597214E-2</v>
      </c>
      <c r="AW101" s="1">
        <v>238317</v>
      </c>
      <c r="AX101" s="1">
        <f t="shared" si="174"/>
        <v>290746.74</v>
      </c>
      <c r="AY101" s="1">
        <f t="shared" si="269"/>
        <v>0.57575892114539184</v>
      </c>
      <c r="AZ101" s="1">
        <f t="shared" si="239"/>
        <v>-4.0338996258257646E-2</v>
      </c>
      <c r="BA101" s="1">
        <f t="shared" si="175"/>
        <v>60.4858519474</v>
      </c>
      <c r="BB101" s="1">
        <v>31379</v>
      </c>
      <c r="BC101" s="1">
        <f t="shared" si="176"/>
        <v>38282.379999999997</v>
      </c>
      <c r="BD101" s="1">
        <f t="shared" si="177"/>
        <v>1.4554931183940383</v>
      </c>
      <c r="BE101" s="1">
        <f t="shared" si="178"/>
        <v>0.13166916334126394</v>
      </c>
      <c r="BF101" s="1">
        <f t="shared" si="179"/>
        <v>9.5189023979704562E-3</v>
      </c>
      <c r="BG101" s="1">
        <v>15248</v>
      </c>
      <c r="BH101" s="1">
        <f t="shared" si="240"/>
        <v>3.2896312325114287E-2</v>
      </c>
      <c r="BI101" s="1">
        <v>577257.64599999995</v>
      </c>
      <c r="BJ101" s="1">
        <f t="shared" si="270"/>
        <v>1.245386136862294</v>
      </c>
      <c r="BK101" s="1">
        <v>101.2013381</v>
      </c>
      <c r="BL101" s="1">
        <v>30035.999</v>
      </c>
      <c r="BM101">
        <f t="shared" si="271"/>
        <v>1.9698320435466947</v>
      </c>
      <c r="BN101">
        <f t="shared" si="272"/>
        <v>5.2032223753342891E-2</v>
      </c>
      <c r="BO101">
        <f t="shared" si="180"/>
        <v>1.2306024408804669E-2</v>
      </c>
      <c r="BP101">
        <v>231691</v>
      </c>
      <c r="BQ101">
        <f t="shared" si="181"/>
        <v>303515.21000000002</v>
      </c>
      <c r="BR101">
        <f t="shared" si="273"/>
        <v>0.6376960764642271</v>
      </c>
      <c r="BS101">
        <f t="shared" si="182"/>
        <v>59.525235619600004</v>
      </c>
      <c r="BT101">
        <f t="shared" si="183"/>
        <v>1.071303741726394E-2</v>
      </c>
      <c r="BU101">
        <v>335.54</v>
      </c>
      <c r="BV101">
        <f t="shared" si="184"/>
        <v>335540</v>
      </c>
      <c r="BW101">
        <f t="shared" si="185"/>
        <v>429491.20000000001</v>
      </c>
      <c r="BX101">
        <f t="shared" si="274"/>
        <v>0.88692313966899228</v>
      </c>
      <c r="BY101">
        <f t="shared" si="186"/>
        <v>76.247206297600002</v>
      </c>
      <c r="BZ101">
        <f t="shared" si="187"/>
        <v>1.1632205070009359E-2</v>
      </c>
      <c r="CA101" s="1">
        <v>13732</v>
      </c>
      <c r="CB101" s="1">
        <f t="shared" si="241"/>
        <v>2.7193156164600579E-2</v>
      </c>
      <c r="CC101" s="1">
        <f t="shared" si="242"/>
        <v>-0.17336764389118786</v>
      </c>
      <c r="CD101" s="1">
        <v>458070</v>
      </c>
      <c r="CE101" s="1">
        <f t="shared" si="188"/>
        <v>558845.4</v>
      </c>
      <c r="CF101">
        <f t="shared" si="275"/>
        <v>1.1066683829062538</v>
      </c>
      <c r="CG101">
        <f t="shared" si="243"/>
        <v>-0.1113853365234454</v>
      </c>
      <c r="CH101">
        <f t="shared" si="189"/>
        <v>90.917938902799989</v>
      </c>
      <c r="CI101" s="1">
        <v>25360</v>
      </c>
      <c r="CJ101" s="1">
        <f t="shared" si="190"/>
        <v>30939.200000000001</v>
      </c>
      <c r="CK101">
        <f t="shared" si="191"/>
        <v>2.253073113894553</v>
      </c>
      <c r="CL101">
        <f t="shared" si="192"/>
        <v>5.5362717488593442E-2</v>
      </c>
      <c r="CM101">
        <f t="shared" si="193"/>
        <v>1.2172167520090711E-2</v>
      </c>
      <c r="CN101" s="1">
        <v>29167</v>
      </c>
      <c r="CO101" s="1">
        <f t="shared" si="244"/>
        <v>6.2925415896288597E-2</v>
      </c>
      <c r="CP101" s="1">
        <v>228354787</v>
      </c>
      <c r="CQ101" s="1">
        <f t="shared" si="287"/>
        <v>492.65676771294255</v>
      </c>
      <c r="CR101" s="1">
        <v>108123.0123</v>
      </c>
      <c r="CS101" s="1">
        <v>41785582</v>
      </c>
      <c r="CT101">
        <f t="shared" si="194"/>
        <v>1432.6321527753969</v>
      </c>
      <c r="CU101">
        <f t="shared" si="195"/>
        <v>0.1829853560284681</v>
      </c>
      <c r="CV101">
        <f t="shared" si="196"/>
        <v>4.5564469323700349E-3</v>
      </c>
      <c r="CW101" s="1">
        <v>24252</v>
      </c>
      <c r="CX101" s="1">
        <f t="shared" si="245"/>
        <v>4.8025664382747829E-2</v>
      </c>
      <c r="CY101" s="1">
        <f t="shared" si="246"/>
        <v>-0.23678431522960455</v>
      </c>
      <c r="CZ101" s="1">
        <v>173038445</v>
      </c>
      <c r="DA101" s="1">
        <f t="shared" si="288"/>
        <v>211106902.90000001</v>
      </c>
      <c r="DB101" s="1">
        <f t="shared" si="277"/>
        <v>418.05002752584261</v>
      </c>
      <c r="DC101" s="1">
        <f t="shared" si="247"/>
        <v>-0.15143756277508649</v>
      </c>
      <c r="DD101" s="1">
        <f t="shared" si="197"/>
        <v>93954.54819500001</v>
      </c>
      <c r="DE101" s="1">
        <v>33953902</v>
      </c>
      <c r="DF101" s="1">
        <f t="shared" si="262"/>
        <v>41423760.439999998</v>
      </c>
      <c r="DG101">
        <f t="shared" si="263"/>
        <v>1708.05543625268</v>
      </c>
      <c r="DH101">
        <f t="shared" si="264"/>
        <v>0.19622172402208074</v>
      </c>
      <c r="DI101">
        <f t="shared" si="201"/>
        <v>4.4494921806040892E-3</v>
      </c>
      <c r="DJ101" s="1">
        <v>3718287</v>
      </c>
      <c r="DK101">
        <f t="shared" si="278"/>
        <v>8.0218999518895746</v>
      </c>
      <c r="DL101">
        <v>1889.3069949999999</v>
      </c>
      <c r="DM101" s="1">
        <v>1777042</v>
      </c>
      <c r="DN101" s="3">
        <f t="shared" si="202"/>
        <v>4.2459483679038491E-3</v>
      </c>
      <c r="DO101" s="1">
        <v>3127593</v>
      </c>
      <c r="DP101" s="1">
        <f t="shared" si="289"/>
        <v>3815663.46</v>
      </c>
      <c r="DQ101" s="3">
        <f t="shared" si="279"/>
        <v>7.5560684779595233</v>
      </c>
      <c r="DR101" s="3">
        <f t="shared" si="204"/>
        <v>1905.8896083399998</v>
      </c>
      <c r="DS101" s="3">
        <f t="shared" si="205"/>
        <v>1761820.4397644226</v>
      </c>
      <c r="DT101" s="3">
        <f t="shared" si="206"/>
        <v>3.9645887384530849E-3</v>
      </c>
      <c r="DU101" s="3">
        <f t="shared" si="207"/>
        <v>0.99143432724967817</v>
      </c>
      <c r="DV101" s="3">
        <f t="shared" si="208"/>
        <v>524.63366628641541</v>
      </c>
      <c r="DW101" s="3">
        <f t="shared" si="209"/>
        <v>0.12453089282034276</v>
      </c>
      <c r="DX101" s="3">
        <f t="shared" si="210"/>
        <v>232928423.646</v>
      </c>
      <c r="DY101" s="3">
        <f t="shared" si="248"/>
        <v>502.52401453668364</v>
      </c>
      <c r="DZ101" s="3">
        <f t="shared" si="211"/>
        <v>232073074</v>
      </c>
      <c r="EA101" s="3">
        <f t="shared" si="212"/>
        <v>490352.65</v>
      </c>
      <c r="EB101" s="3">
        <f t="shared" si="249"/>
        <v>1.0302480755044743</v>
      </c>
      <c r="EC101" s="3">
        <f t="shared" si="213"/>
        <v>665536</v>
      </c>
      <c r="ED101" s="3">
        <f t="shared" si="250"/>
        <v>1.3743687383647032</v>
      </c>
      <c r="EE101" s="9">
        <f t="shared" si="214"/>
        <v>215772158.5</v>
      </c>
      <c r="EF101" s="13">
        <f t="shared" si="251"/>
        <v>427.28852330785378</v>
      </c>
      <c r="EG101" s="14">
        <f t="shared" si="252"/>
        <v>-0.14971521569610036</v>
      </c>
      <c r="EH101" s="9">
        <f t="shared" si="215"/>
        <v>214922566.36000001</v>
      </c>
      <c r="EI101" s="10">
        <v>862119</v>
      </c>
      <c r="EJ101" s="10">
        <f t="shared" si="280"/>
        <v>1129375.8900000001</v>
      </c>
      <c r="EK101" s="10">
        <f t="shared" si="253"/>
        <v>2.3728582627087933</v>
      </c>
      <c r="EL101" s="10">
        <v>420000</v>
      </c>
      <c r="EM101" s="10">
        <f t="shared" si="281"/>
        <v>537600</v>
      </c>
      <c r="EN101" s="10">
        <f t="shared" si="254"/>
        <v>1.1101738053912402</v>
      </c>
      <c r="EO101" s="11">
        <v>4348832</v>
      </c>
      <c r="EP101" s="11">
        <f t="shared" si="282"/>
        <v>5305575.04</v>
      </c>
      <c r="EQ101" s="11">
        <f t="shared" si="255"/>
        <v>10.506505287338113</v>
      </c>
      <c r="ER101" s="10">
        <f t="shared" si="256"/>
        <v>13.989537355438147</v>
      </c>
      <c r="ES101" s="10">
        <f t="shared" si="216"/>
        <v>9.8690011904761903</v>
      </c>
      <c r="ET101" s="12">
        <v>60842</v>
      </c>
      <c r="EU101" s="12">
        <f t="shared" si="283"/>
        <v>79703.02</v>
      </c>
      <c r="EV101" s="12">
        <f t="shared" si="257"/>
        <v>0.16745883389616559</v>
      </c>
      <c r="EW101" s="10">
        <v>19000</v>
      </c>
      <c r="EX101" s="10">
        <f t="shared" si="284"/>
        <v>24320</v>
      </c>
      <c r="EY101" s="10">
        <f t="shared" si="258"/>
        <v>5.0222148339127533E-2</v>
      </c>
      <c r="EZ101" s="3">
        <f t="shared" si="217"/>
        <v>187511.02261904761</v>
      </c>
      <c r="FA101" s="3">
        <f t="shared" si="259"/>
        <v>0.37132366156886926</v>
      </c>
      <c r="FB101" s="3">
        <f t="shared" si="260"/>
        <v>0.5890046438041624</v>
      </c>
      <c r="FC101" s="1">
        <f t="shared" si="218"/>
        <v>0.5403</v>
      </c>
      <c r="FD101">
        <f>5.48/10</f>
        <v>0.54800000000000004</v>
      </c>
      <c r="FE101">
        <f>6.4</f>
        <v>6.4</v>
      </c>
      <c r="FF101" s="7">
        <f t="shared" si="219"/>
        <v>21.03</v>
      </c>
      <c r="FG101" s="1">
        <f t="shared" si="220"/>
        <v>2.9260000000000002</v>
      </c>
      <c r="FH101">
        <v>2.63E-2</v>
      </c>
      <c r="FI101">
        <v>3.4000000000000002E-2</v>
      </c>
      <c r="FJ101">
        <v>4.41E-2</v>
      </c>
      <c r="FK101">
        <v>4.0899999999999999E-2</v>
      </c>
      <c r="FL101" s="1">
        <f t="shared" si="221"/>
        <v>2.5666666666666672E-3</v>
      </c>
    </row>
    <row r="102" spans="1:168">
      <c r="A102" t="s">
        <v>141</v>
      </c>
      <c r="B102" s="1" t="s">
        <v>105</v>
      </c>
      <c r="C102" s="1">
        <v>163842</v>
      </c>
      <c r="D102" s="6">
        <f t="shared" si="290"/>
        <v>169313.7</v>
      </c>
      <c r="E102" s="6">
        <f t="shared" si="291"/>
        <v>172961.5</v>
      </c>
      <c r="F102" s="1">
        <v>182081</v>
      </c>
      <c r="G102" s="1">
        <f t="shared" si="265"/>
        <v>1823.9</v>
      </c>
      <c r="H102" s="1">
        <v>1.31</v>
      </c>
      <c r="I102" s="1">
        <v>1.28</v>
      </c>
      <c r="J102" s="1">
        <v>1.22</v>
      </c>
      <c r="K102">
        <v>69362</v>
      </c>
      <c r="L102">
        <f t="shared" si="225"/>
        <v>0.42334688297261996</v>
      </c>
      <c r="M102" s="1">
        <v>63359</v>
      </c>
      <c r="N102">
        <f t="shared" si="226"/>
        <v>0.34797150718636211</v>
      </c>
      <c r="O102">
        <f t="shared" si="227"/>
        <v>-0.17804637005236384</v>
      </c>
      <c r="P102">
        <f t="shared" si="228"/>
        <v>0.15611131259184269</v>
      </c>
      <c r="Q102">
        <f t="shared" si="229"/>
        <v>0.12700781835571751</v>
      </c>
      <c r="R102">
        <f t="shared" si="230"/>
        <v>902.48083973834832</v>
      </c>
      <c r="S102">
        <f t="shared" si="231"/>
        <v>955.05116963160117</v>
      </c>
      <c r="T102">
        <f t="shared" si="232"/>
        <v>986.0219191110948</v>
      </c>
      <c r="U102">
        <v>92297.113769999996</v>
      </c>
      <c r="V102">
        <f t="shared" si="233"/>
        <v>1.0683128419033929E-2</v>
      </c>
      <c r="W102">
        <f t="shared" si="234"/>
        <v>866.47625397487923</v>
      </c>
      <c r="X102">
        <v>79429.064259999999</v>
      </c>
      <c r="Y102">
        <f t="shared" si="235"/>
        <v>1.0908806015120481E-2</v>
      </c>
      <c r="Z102" s="1">
        <v>5882</v>
      </c>
      <c r="AA102" s="1">
        <f t="shared" si="236"/>
        <v>3.5900440668448871E-2</v>
      </c>
      <c r="AB102" s="1">
        <v>74157</v>
      </c>
      <c r="AC102" s="1">
        <f t="shared" si="266"/>
        <v>0.45261288314351633</v>
      </c>
      <c r="AD102" s="1">
        <v>61.278341249999997</v>
      </c>
      <c r="AE102" s="1">
        <v>8293</v>
      </c>
      <c r="AF102">
        <f t="shared" si="165"/>
        <v>1.4098945936756206</v>
      </c>
      <c r="AG102">
        <f t="shared" si="166"/>
        <v>0.11183030597246382</v>
      </c>
      <c r="AH102">
        <f t="shared" si="222"/>
        <v>7.3861804009506598E-3</v>
      </c>
      <c r="AI102">
        <v>35198</v>
      </c>
      <c r="AJ102">
        <f t="shared" si="167"/>
        <v>46109.380000000005</v>
      </c>
      <c r="AK102">
        <f t="shared" si="267"/>
        <v>0.27233106358197834</v>
      </c>
      <c r="AL102">
        <f t="shared" si="168"/>
        <v>40.567501634999999</v>
      </c>
      <c r="AM102">
        <f t="shared" si="169"/>
        <v>6.7130351292578024E-3</v>
      </c>
      <c r="AN102">
        <v>48.67</v>
      </c>
      <c r="AO102">
        <f t="shared" si="170"/>
        <v>48670</v>
      </c>
      <c r="AP102">
        <f t="shared" si="171"/>
        <v>62297.599999999999</v>
      </c>
      <c r="AQ102">
        <f t="shared" si="268"/>
        <v>0.36018189018943519</v>
      </c>
      <c r="AR102">
        <f t="shared" si="172"/>
        <v>51.759606732800002</v>
      </c>
      <c r="AS102">
        <f t="shared" si="173"/>
        <v>6.9587447224785104E-3</v>
      </c>
      <c r="AT102" s="1">
        <v>6599</v>
      </c>
      <c r="AU102" s="1">
        <f t="shared" si="237"/>
        <v>3.6242112027064878E-2</v>
      </c>
      <c r="AV102" s="1">
        <f t="shared" si="238"/>
        <v>9.5171912169948591E-3</v>
      </c>
      <c r="AW102" s="1">
        <v>67454</v>
      </c>
      <c r="AX102" s="1">
        <f t="shared" si="174"/>
        <v>82293.88</v>
      </c>
      <c r="AY102" s="1">
        <f t="shared" si="269"/>
        <v>0.45196302744382999</v>
      </c>
      <c r="AZ102" s="1">
        <f t="shared" si="239"/>
        <v>-1.4357870133366983E-3</v>
      </c>
      <c r="BA102" s="1">
        <f t="shared" si="175"/>
        <v>60.4858519474</v>
      </c>
      <c r="BB102" s="1">
        <v>7634</v>
      </c>
      <c r="BC102" s="1">
        <f t="shared" si="176"/>
        <v>9313.48</v>
      </c>
      <c r="BD102" s="1">
        <f t="shared" si="177"/>
        <v>1.4113471738142143</v>
      </c>
      <c r="BE102" s="1">
        <f t="shared" si="178"/>
        <v>0.11317342188750851</v>
      </c>
      <c r="BF102" s="1">
        <f t="shared" si="179"/>
        <v>7.4722106557558003E-3</v>
      </c>
      <c r="BG102" s="1">
        <v>2742</v>
      </c>
      <c r="BH102" s="1">
        <f t="shared" si="240"/>
        <v>1.6735635551323836E-2</v>
      </c>
      <c r="BI102" s="1">
        <v>57414.271000000001</v>
      </c>
      <c r="BJ102" s="1">
        <f t="shared" si="270"/>
        <v>0.35042462250216672</v>
      </c>
      <c r="BK102" s="1">
        <v>101.2013381</v>
      </c>
      <c r="BL102" s="1">
        <v>4084.4740000000002</v>
      </c>
      <c r="BM102">
        <f t="shared" si="271"/>
        <v>1.4895966447848286</v>
      </c>
      <c r="BN102">
        <f t="shared" si="272"/>
        <v>7.1140396435583064E-2</v>
      </c>
      <c r="BO102">
        <f t="shared" si="180"/>
        <v>3.4626481139597375E-3</v>
      </c>
      <c r="BP102">
        <v>31922</v>
      </c>
      <c r="BQ102">
        <f t="shared" si="181"/>
        <v>41817.82</v>
      </c>
      <c r="BR102">
        <f t="shared" si="273"/>
        <v>0.24698426648286581</v>
      </c>
      <c r="BS102">
        <f t="shared" si="182"/>
        <v>59.525235619600004</v>
      </c>
      <c r="BT102">
        <f t="shared" si="183"/>
        <v>4.149236267811442E-3</v>
      </c>
      <c r="BU102">
        <v>51.34</v>
      </c>
      <c r="BV102">
        <f t="shared" si="184"/>
        <v>51340</v>
      </c>
      <c r="BW102">
        <f t="shared" si="185"/>
        <v>65715.199999999997</v>
      </c>
      <c r="BX102">
        <f t="shared" si="274"/>
        <v>0.37994120078745847</v>
      </c>
      <c r="BY102">
        <f t="shared" si="186"/>
        <v>76.247206297600002</v>
      </c>
      <c r="BZ102">
        <f t="shared" si="187"/>
        <v>4.9830179915643378E-3</v>
      </c>
      <c r="CA102" s="1">
        <v>2217</v>
      </c>
      <c r="CB102" s="1">
        <f t="shared" si="241"/>
        <v>1.2175899736930267E-2</v>
      </c>
      <c r="CC102" s="1">
        <f t="shared" si="242"/>
        <v>-0.27245668683510982</v>
      </c>
      <c r="CD102" s="1">
        <v>63124</v>
      </c>
      <c r="CE102" s="1">
        <f t="shared" si="188"/>
        <v>77011.28</v>
      </c>
      <c r="CF102">
        <f t="shared" si="275"/>
        <v>0.42295066481401133</v>
      </c>
      <c r="CG102">
        <f t="shared" si="243"/>
        <v>0.20696617090996847</v>
      </c>
      <c r="CH102">
        <f t="shared" si="189"/>
        <v>90.917938902799989</v>
      </c>
      <c r="CI102" s="1">
        <v>3962</v>
      </c>
      <c r="CJ102" s="1">
        <f t="shared" si="190"/>
        <v>4833.6400000000003</v>
      </c>
      <c r="CK102">
        <f t="shared" si="191"/>
        <v>2.1802616147947678</v>
      </c>
      <c r="CL102">
        <f t="shared" si="192"/>
        <v>6.2765350738229517E-2</v>
      </c>
      <c r="CM102">
        <f t="shared" si="193"/>
        <v>4.6520045429778853E-3</v>
      </c>
      <c r="CN102" s="1">
        <v>18282</v>
      </c>
      <c r="CO102" s="1">
        <f t="shared" si="244"/>
        <v>0.11158311055773244</v>
      </c>
      <c r="CP102" s="1">
        <v>161420232</v>
      </c>
      <c r="CQ102" s="1">
        <f t="shared" si="287"/>
        <v>985.21888160544916</v>
      </c>
      <c r="CR102" s="1">
        <v>108123.0123</v>
      </c>
      <c r="CS102" s="1">
        <v>24269772</v>
      </c>
      <c r="CT102">
        <f t="shared" si="194"/>
        <v>1327.5228093206433</v>
      </c>
      <c r="CU102">
        <f t="shared" si="195"/>
        <v>0.15035148753843941</v>
      </c>
      <c r="CV102">
        <f t="shared" si="196"/>
        <v>9.1120184375907288E-3</v>
      </c>
      <c r="CW102" s="1">
        <v>12601</v>
      </c>
      <c r="CX102" s="1">
        <f t="shared" si="245"/>
        <v>6.9205463502507128E-2</v>
      </c>
      <c r="CY102" s="1">
        <f t="shared" si="246"/>
        <v>-0.37978549659896216</v>
      </c>
      <c r="CZ102" s="1">
        <v>129188162</v>
      </c>
      <c r="DA102" s="1">
        <f t="shared" si="288"/>
        <v>157609557.63999999</v>
      </c>
      <c r="DB102" s="1">
        <f t="shared" si="277"/>
        <v>865.60134028262144</v>
      </c>
      <c r="DC102" s="1">
        <f t="shared" si="247"/>
        <v>-0.12141214866680862</v>
      </c>
      <c r="DD102" s="1">
        <f t="shared" si="197"/>
        <v>93954.54819500001</v>
      </c>
      <c r="DE102" s="1">
        <v>16754249</v>
      </c>
      <c r="DF102" s="1">
        <f t="shared" si="262"/>
        <v>20440183.780000001</v>
      </c>
      <c r="DG102">
        <f t="shared" si="263"/>
        <v>1622.1080692008572</v>
      </c>
      <c r="DH102">
        <f t="shared" si="264"/>
        <v>0.12968873262551722</v>
      </c>
      <c r="DI102">
        <f t="shared" si="201"/>
        <v>9.2129796472022862E-3</v>
      </c>
      <c r="DJ102" s="1">
        <v>3266960</v>
      </c>
      <c r="DK102">
        <f t="shared" si="278"/>
        <v>19.939698001733376</v>
      </c>
      <c r="DL102">
        <v>1889.3069949999999</v>
      </c>
      <c r="DM102" s="1">
        <v>1447924</v>
      </c>
      <c r="DN102" s="3">
        <f t="shared" si="202"/>
        <v>1.0553974581422315E-2</v>
      </c>
      <c r="DO102" s="1">
        <v>2687661</v>
      </c>
      <c r="DP102" s="1">
        <f t="shared" si="289"/>
        <v>3278946.42</v>
      </c>
      <c r="DQ102" s="3">
        <f t="shared" si="279"/>
        <v>18.008174493769257</v>
      </c>
      <c r="DR102" s="3">
        <f t="shared" si="204"/>
        <v>1905.8896083399998</v>
      </c>
      <c r="DS102" s="3">
        <f t="shared" si="205"/>
        <v>1219674.4215648265</v>
      </c>
      <c r="DT102" s="3">
        <f t="shared" si="206"/>
        <v>9.4486975609537512E-3</v>
      </c>
      <c r="DU102" s="3">
        <f t="shared" si="207"/>
        <v>0.84236080178574735</v>
      </c>
      <c r="DV102" s="3">
        <f t="shared" si="208"/>
        <v>492.68699642476167</v>
      </c>
      <c r="DW102" s="3">
        <f t="shared" si="209"/>
        <v>0.10649161586629025</v>
      </c>
      <c r="DX102" s="3">
        <f t="shared" si="210"/>
        <v>164818763.271</v>
      </c>
      <c r="DY102" s="3">
        <f t="shared" si="248"/>
        <v>1005.9616171128282</v>
      </c>
      <c r="DZ102" s="3">
        <f t="shared" si="211"/>
        <v>164687192</v>
      </c>
      <c r="EA102" s="3">
        <f t="shared" si="212"/>
        <v>87927.200000000012</v>
      </c>
      <c r="EB102" s="3">
        <f t="shared" si="249"/>
        <v>0.51931533006484421</v>
      </c>
      <c r="EC102" s="3">
        <f t="shared" si="213"/>
        <v>128012.79999999999</v>
      </c>
      <c r="ED102" s="3">
        <f t="shared" si="250"/>
        <v>0.74012309097689366</v>
      </c>
      <c r="EE102" s="9">
        <f t="shared" si="214"/>
        <v>161047809.21999997</v>
      </c>
      <c r="EF102" s="13">
        <f t="shared" si="251"/>
        <v>884.48442846864839</v>
      </c>
      <c r="EG102" s="14">
        <f t="shared" si="252"/>
        <v>-0.12075727997736815</v>
      </c>
      <c r="EH102" s="9">
        <f t="shared" si="215"/>
        <v>160888504.05999997</v>
      </c>
      <c r="EI102" s="10">
        <v>364038</v>
      </c>
      <c r="EJ102" s="10">
        <f t="shared" si="280"/>
        <v>476889.78</v>
      </c>
      <c r="EK102" s="10">
        <f t="shared" si="253"/>
        <v>2.8166047992572367</v>
      </c>
      <c r="EL102" s="10">
        <v>295000</v>
      </c>
      <c r="EM102" s="10">
        <f t="shared" si="281"/>
        <v>377600</v>
      </c>
      <c r="EN102" s="10">
        <f t="shared" si="254"/>
        <v>2.1831448039014463</v>
      </c>
      <c r="EO102" s="11">
        <v>2668962</v>
      </c>
      <c r="EP102" s="11">
        <f t="shared" si="282"/>
        <v>3256133.64</v>
      </c>
      <c r="EQ102" s="11">
        <f t="shared" si="255"/>
        <v>17.882885309285427</v>
      </c>
      <c r="ER102" s="10">
        <f t="shared" si="256"/>
        <v>22.882634912444111</v>
      </c>
      <c r="ES102" s="10">
        <f t="shared" si="216"/>
        <v>8.6232352754237294</v>
      </c>
      <c r="ET102" s="12">
        <v>55520</v>
      </c>
      <c r="EU102" s="12">
        <f t="shared" si="283"/>
        <v>72731.199999999997</v>
      </c>
      <c r="EV102" s="12">
        <f t="shared" si="257"/>
        <v>0.42956476646603314</v>
      </c>
      <c r="EW102" s="10">
        <v>20000</v>
      </c>
      <c r="EX102" s="10">
        <f t="shared" si="284"/>
        <v>25600</v>
      </c>
      <c r="EY102" s="10">
        <f t="shared" si="258"/>
        <v>0.14800981721365739</v>
      </c>
      <c r="EZ102" s="3">
        <f t="shared" si="217"/>
        <v>172464.70550847458</v>
      </c>
      <c r="FA102" s="3">
        <f t="shared" si="259"/>
        <v>0.94718672189011799</v>
      </c>
      <c r="FB102" s="3">
        <f t="shared" si="260"/>
        <v>1.5247613055698084</v>
      </c>
      <c r="FC102" s="1">
        <f t="shared" si="218"/>
        <v>0.29530000000000001</v>
      </c>
      <c r="FD102">
        <f>3.03/10</f>
        <v>0.30299999999999999</v>
      </c>
      <c r="FE102">
        <f>3.8</f>
        <v>3.8</v>
      </c>
      <c r="FF102" s="7">
        <f t="shared" si="219"/>
        <v>12.5425</v>
      </c>
      <c r="FG102" s="1">
        <f t="shared" si="220"/>
        <v>1.7484999999999999</v>
      </c>
      <c r="FH102">
        <v>2.63E-2</v>
      </c>
      <c r="FI102">
        <v>3.4000000000000002E-2</v>
      </c>
      <c r="FJ102">
        <v>4.41E-2</v>
      </c>
      <c r="FK102">
        <v>4.0899999999999999E-2</v>
      </c>
      <c r="FL102" s="1">
        <f t="shared" si="221"/>
        <v>2.5666666666666672E-3</v>
      </c>
    </row>
    <row r="103" spans="1:168">
      <c r="A103" t="s">
        <v>118</v>
      </c>
      <c r="B103" s="1" t="s">
        <v>55</v>
      </c>
      <c r="C103" s="1">
        <v>112737</v>
      </c>
      <c r="D103" s="6">
        <f t="shared" si="290"/>
        <v>118113.9</v>
      </c>
      <c r="E103" s="6">
        <f t="shared" si="291"/>
        <v>121698.5</v>
      </c>
      <c r="F103" s="1">
        <v>130660</v>
      </c>
      <c r="G103" s="1">
        <f t="shared" si="265"/>
        <v>1792.3</v>
      </c>
      <c r="H103" s="1">
        <v>1.31</v>
      </c>
      <c r="I103" s="1">
        <v>1.28</v>
      </c>
      <c r="J103" s="1">
        <v>1.22</v>
      </c>
      <c r="K103">
        <v>44794</v>
      </c>
      <c r="L103">
        <f t="shared" si="225"/>
        <v>0.397331843139342</v>
      </c>
      <c r="M103" s="1">
        <v>48953</v>
      </c>
      <c r="N103">
        <f t="shared" si="226"/>
        <v>0.37465942139905095</v>
      </c>
      <c r="O103">
        <f t="shared" si="227"/>
        <v>-5.706167812062312E-2</v>
      </c>
      <c r="P103">
        <f t="shared" si="228"/>
        <v>0.13069649076234599</v>
      </c>
      <c r="Q103">
        <f t="shared" si="229"/>
        <v>9.9063362991112222E-2</v>
      </c>
      <c r="R103">
        <f t="shared" si="230"/>
        <v>535.34500681596887</v>
      </c>
      <c r="S103">
        <f t="shared" si="231"/>
        <v>538.26641409266404</v>
      </c>
      <c r="T103">
        <f t="shared" si="232"/>
        <v>417.17079241952507</v>
      </c>
      <c r="U103">
        <v>92297.113769999996</v>
      </c>
      <c r="V103">
        <f t="shared" si="233"/>
        <v>4.5198682318397815E-3</v>
      </c>
      <c r="W103">
        <f t="shared" si="234"/>
        <v>440.48083193020051</v>
      </c>
      <c r="X103">
        <v>79429.064259999999</v>
      </c>
      <c r="Y103">
        <f t="shared" si="235"/>
        <v>5.5455875759576837E-3</v>
      </c>
      <c r="Z103" s="1">
        <v>4674</v>
      </c>
      <c r="AA103" s="1">
        <f t="shared" si="236"/>
        <v>4.1459325687218926E-2</v>
      </c>
      <c r="AB103" s="1">
        <v>61884</v>
      </c>
      <c r="AC103" s="1">
        <f t="shared" si="266"/>
        <v>0.54892360094733761</v>
      </c>
      <c r="AD103" s="1">
        <v>61.278341249999997</v>
      </c>
      <c r="AE103" s="1">
        <v>6897</v>
      </c>
      <c r="AF103">
        <f t="shared" si="165"/>
        <v>1.475609756097561</v>
      </c>
      <c r="AG103">
        <f t="shared" si="166"/>
        <v>0.11145045569129339</v>
      </c>
      <c r="AH103">
        <f t="shared" si="222"/>
        <v>8.9578730388257307E-3</v>
      </c>
      <c r="AI103">
        <v>31365</v>
      </c>
      <c r="AJ103">
        <f t="shared" si="167"/>
        <v>41088.15</v>
      </c>
      <c r="AK103">
        <f t="shared" si="267"/>
        <v>0.34786887910737013</v>
      </c>
      <c r="AL103">
        <f t="shared" si="168"/>
        <v>40.567501634999999</v>
      </c>
      <c r="AM103">
        <f t="shared" si="169"/>
        <v>8.5750629219730635E-3</v>
      </c>
      <c r="AN103">
        <v>48.55</v>
      </c>
      <c r="AO103">
        <f t="shared" si="170"/>
        <v>48550</v>
      </c>
      <c r="AP103">
        <f t="shared" si="171"/>
        <v>62144</v>
      </c>
      <c r="AQ103">
        <f t="shared" si="268"/>
        <v>0.51063899719388484</v>
      </c>
      <c r="AR103">
        <f t="shared" si="172"/>
        <v>51.759606732800002</v>
      </c>
      <c r="AS103">
        <f t="shared" si="173"/>
        <v>9.8655888138789415E-3</v>
      </c>
      <c r="AT103" s="1">
        <v>6708</v>
      </c>
      <c r="AU103" s="1">
        <f t="shared" si="237"/>
        <v>5.1339354048675956E-2</v>
      </c>
      <c r="AV103" s="1">
        <f t="shared" si="238"/>
        <v>0.23830653773760829</v>
      </c>
      <c r="AW103" s="1">
        <v>58625</v>
      </c>
      <c r="AX103" s="1">
        <f t="shared" si="174"/>
        <v>71522.5</v>
      </c>
      <c r="AY103" s="1">
        <f t="shared" si="269"/>
        <v>0.54739399969386193</v>
      </c>
      <c r="AZ103" s="1">
        <f t="shared" si="239"/>
        <v>-2.7865467085690541E-3</v>
      </c>
      <c r="BA103" s="1">
        <f t="shared" si="175"/>
        <v>60.4858519474</v>
      </c>
      <c r="BB103" s="1">
        <v>6691</v>
      </c>
      <c r="BC103" s="1">
        <f t="shared" si="176"/>
        <v>8163.0199999999995</v>
      </c>
      <c r="BD103" s="1">
        <f t="shared" si="177"/>
        <v>1.2169081693500297</v>
      </c>
      <c r="BE103" s="1">
        <f t="shared" si="178"/>
        <v>0.11413219616204689</v>
      </c>
      <c r="BF103" s="1">
        <f t="shared" si="179"/>
        <v>9.0499510558252425E-3</v>
      </c>
      <c r="BG103" s="1">
        <v>2403</v>
      </c>
      <c r="BH103" s="1">
        <f t="shared" si="240"/>
        <v>2.1315096197344261E-2</v>
      </c>
      <c r="BI103" s="1">
        <v>34624.625</v>
      </c>
      <c r="BJ103" s="1">
        <f t="shared" si="270"/>
        <v>0.30712742932666293</v>
      </c>
      <c r="BK103" s="1">
        <v>101.2013381</v>
      </c>
      <c r="BL103" s="1">
        <v>2635.5419999999999</v>
      </c>
      <c r="BM103">
        <f t="shared" si="271"/>
        <v>1.0967715355805243</v>
      </c>
      <c r="BN103">
        <f t="shared" si="272"/>
        <v>7.6117560840009091E-2</v>
      </c>
      <c r="BO103">
        <f t="shared" si="180"/>
        <v>3.034815893671103E-3</v>
      </c>
      <c r="BP103">
        <v>21134</v>
      </c>
      <c r="BQ103">
        <f t="shared" si="181"/>
        <v>27685.54</v>
      </c>
      <c r="BR103">
        <f t="shared" si="273"/>
        <v>0.23439696767272947</v>
      </c>
      <c r="BS103">
        <f t="shared" si="182"/>
        <v>59.525235619600004</v>
      </c>
      <c r="BT103">
        <f t="shared" si="183"/>
        <v>3.9377747140836019E-3</v>
      </c>
      <c r="BU103">
        <v>25.24</v>
      </c>
      <c r="BV103">
        <f t="shared" si="184"/>
        <v>25240</v>
      </c>
      <c r="BW103">
        <f t="shared" si="185"/>
        <v>32307.200000000001</v>
      </c>
      <c r="BX103">
        <f t="shared" si="274"/>
        <v>0.2654691717646479</v>
      </c>
      <c r="BY103">
        <f t="shared" si="186"/>
        <v>76.247206297600002</v>
      </c>
      <c r="BZ103">
        <f t="shared" si="187"/>
        <v>3.4816904730711946E-3</v>
      </c>
      <c r="CA103" s="1">
        <v>1642</v>
      </c>
      <c r="CB103" s="1">
        <f t="shared" si="241"/>
        <v>1.2566967702433797E-2</v>
      </c>
      <c r="CC103" s="1">
        <f t="shared" si="242"/>
        <v>-0.41041937666696671</v>
      </c>
      <c r="CD103" s="1">
        <v>38585</v>
      </c>
      <c r="CE103" s="1">
        <f t="shared" si="188"/>
        <v>47073.7</v>
      </c>
      <c r="CF103">
        <f t="shared" si="275"/>
        <v>0.36027628960661257</v>
      </c>
      <c r="CG103">
        <f t="shared" si="243"/>
        <v>0.17305149330514577</v>
      </c>
      <c r="CH103">
        <f t="shared" si="189"/>
        <v>90.917938902799989</v>
      </c>
      <c r="CI103" s="1">
        <v>2559</v>
      </c>
      <c r="CJ103" s="1">
        <f t="shared" si="190"/>
        <v>3121.98</v>
      </c>
      <c r="CK103">
        <f t="shared" si="191"/>
        <v>1.9013276492082827</v>
      </c>
      <c r="CL103">
        <f t="shared" si="192"/>
        <v>6.6321109239341716E-2</v>
      </c>
      <c r="CM103">
        <f t="shared" si="193"/>
        <v>3.9626535088062489E-3</v>
      </c>
      <c r="CN103" s="1">
        <v>4220</v>
      </c>
      <c r="CO103" s="1">
        <f t="shared" si="244"/>
        <v>3.7432253829709855E-2</v>
      </c>
      <c r="CP103" s="1">
        <v>46934075</v>
      </c>
      <c r="CQ103" s="1">
        <f t="shared" si="287"/>
        <v>416.31474138925108</v>
      </c>
      <c r="CR103" s="1">
        <v>108123.0123</v>
      </c>
      <c r="CS103" s="1">
        <v>6038260</v>
      </c>
      <c r="CT103">
        <f t="shared" si="194"/>
        <v>1430.8672985781991</v>
      </c>
      <c r="CU103">
        <f t="shared" si="195"/>
        <v>0.12865407489121711</v>
      </c>
      <c r="CV103">
        <f t="shared" si="196"/>
        <v>3.8503805298555401E-3</v>
      </c>
      <c r="CW103" s="1">
        <v>4082</v>
      </c>
      <c r="CX103" s="1">
        <f t="shared" si="245"/>
        <v>3.1241389866829939E-2</v>
      </c>
      <c r="CY103" s="1">
        <f t="shared" si="246"/>
        <v>-0.16538849065952443</v>
      </c>
      <c r="CZ103" s="1">
        <v>47077565</v>
      </c>
      <c r="DA103" s="1">
        <f t="shared" si="288"/>
        <v>57434629.299999997</v>
      </c>
      <c r="DB103" s="1">
        <f t="shared" si="277"/>
        <v>439.57316164090003</v>
      </c>
      <c r="DC103" s="1">
        <f t="shared" si="247"/>
        <v>5.5867395360623316E-2</v>
      </c>
      <c r="DD103" s="1">
        <f t="shared" si="197"/>
        <v>93954.54819500001</v>
      </c>
      <c r="DE103" s="1">
        <v>5475773</v>
      </c>
      <c r="DF103" s="1">
        <f t="shared" si="262"/>
        <v>6680443.0599999996</v>
      </c>
      <c r="DG103">
        <f t="shared" si="263"/>
        <v>1636.5612591866732</v>
      </c>
      <c r="DH103">
        <f t="shared" si="264"/>
        <v>0.11631385353086975</v>
      </c>
      <c r="DI103">
        <f t="shared" si="201"/>
        <v>4.6785724596171583E-3</v>
      </c>
      <c r="DJ103" s="1">
        <v>10727513</v>
      </c>
      <c r="DK103">
        <f t="shared" si="278"/>
        <v>95.155210800358361</v>
      </c>
      <c r="DL103">
        <v>1889.3069949999999</v>
      </c>
      <c r="DM103" s="1">
        <v>1500988</v>
      </c>
      <c r="DN103" s="3">
        <f t="shared" si="202"/>
        <v>5.0365139732284937E-2</v>
      </c>
      <c r="DO103" s="1">
        <v>8194060</v>
      </c>
      <c r="DP103" s="1">
        <f t="shared" si="289"/>
        <v>9996753.1999999993</v>
      </c>
      <c r="DQ103" s="3">
        <f t="shared" si="279"/>
        <v>76.509667840195917</v>
      </c>
      <c r="DR103" s="3">
        <f t="shared" si="204"/>
        <v>1905.8896083399998</v>
      </c>
      <c r="DS103" s="3">
        <f t="shared" si="205"/>
        <v>1660804.9048589999</v>
      </c>
      <c r="DT103" s="3">
        <f t="shared" si="206"/>
        <v>4.0143808699830544E-2</v>
      </c>
      <c r="DU103" s="3">
        <f t="shared" si="207"/>
        <v>1.1064744720537405</v>
      </c>
      <c r="DV103" s="3">
        <f t="shared" si="208"/>
        <v>512.18652914585152</v>
      </c>
      <c r="DW103" s="3">
        <f t="shared" si="209"/>
        <v>0.10216487505912968</v>
      </c>
      <c r="DX103" s="3">
        <f t="shared" si="210"/>
        <v>57758096.625</v>
      </c>
      <c r="DY103" s="3">
        <f t="shared" si="248"/>
        <v>512.32600321988343</v>
      </c>
      <c r="DZ103" s="3">
        <f t="shared" si="211"/>
        <v>57661588</v>
      </c>
      <c r="EA103" s="3">
        <f t="shared" si="212"/>
        <v>68773.69</v>
      </c>
      <c r="EB103" s="3">
        <f t="shared" si="249"/>
        <v>0.58226584678009963</v>
      </c>
      <c r="EC103" s="3">
        <f t="shared" si="213"/>
        <v>94451.199999999997</v>
      </c>
      <c r="ED103" s="3">
        <f t="shared" si="250"/>
        <v>0.77610816895853274</v>
      </c>
      <c r="EE103" s="9">
        <f t="shared" si="214"/>
        <v>67549978.700000003</v>
      </c>
      <c r="EF103" s="13">
        <f t="shared" si="251"/>
        <v>516.99049977039647</v>
      </c>
      <c r="EG103" s="14">
        <f t="shared" si="252"/>
        <v>9.1045477317127244E-3</v>
      </c>
      <c r="EH103" s="9">
        <f t="shared" si="215"/>
        <v>67431382.5</v>
      </c>
      <c r="EI103" s="10">
        <v>649006</v>
      </c>
      <c r="EJ103" s="10">
        <f t="shared" si="280"/>
        <v>850197.86</v>
      </c>
      <c r="EK103" s="10">
        <f t="shared" si="253"/>
        <v>7.1981185956944955</v>
      </c>
      <c r="EL103" s="10">
        <v>257000</v>
      </c>
      <c r="EM103" s="10">
        <f t="shared" si="281"/>
        <v>328960</v>
      </c>
      <c r="EN103" s="10">
        <f t="shared" si="254"/>
        <v>2.7030735793785463</v>
      </c>
      <c r="EO103" s="11">
        <v>1574234</v>
      </c>
      <c r="EP103" s="11">
        <f t="shared" si="282"/>
        <v>1920565.48</v>
      </c>
      <c r="EQ103" s="11">
        <f t="shared" si="255"/>
        <v>14.698955150772999</v>
      </c>
      <c r="ER103" s="10">
        <f t="shared" si="256"/>
        <v>24.600147325846041</v>
      </c>
      <c r="ES103" s="10">
        <f t="shared" si="216"/>
        <v>5.8382948686770426</v>
      </c>
      <c r="ET103" s="12">
        <v>2598238</v>
      </c>
      <c r="EU103" s="12">
        <f t="shared" si="283"/>
        <v>3403691.7800000003</v>
      </c>
      <c r="EV103" s="12">
        <f t="shared" si="257"/>
        <v>28.817029833067917</v>
      </c>
      <c r="EW103" s="10">
        <v>989000</v>
      </c>
      <c r="EX103" s="10">
        <f t="shared" si="284"/>
        <v>1265920</v>
      </c>
      <c r="EY103" s="10">
        <f t="shared" si="258"/>
        <v>10.402100272394483</v>
      </c>
      <c r="EZ103" s="3">
        <f t="shared" si="217"/>
        <v>5774073.6251215953</v>
      </c>
      <c r="FA103" s="3">
        <f t="shared" si="259"/>
        <v>44.191593640912252</v>
      </c>
      <c r="FB103" s="3">
        <f t="shared" si="260"/>
        <v>83.410723746374657</v>
      </c>
      <c r="FC103" s="1">
        <f t="shared" si="218"/>
        <v>0.45030000000000003</v>
      </c>
      <c r="FD103">
        <f>4.58/10</f>
        <v>0.45800000000000002</v>
      </c>
      <c r="FE103">
        <f>5</f>
        <v>5</v>
      </c>
      <c r="FF103" s="7">
        <f t="shared" si="219"/>
        <v>16.355</v>
      </c>
      <c r="FG103" s="1">
        <f t="shared" si="220"/>
        <v>2.2709999999999999</v>
      </c>
      <c r="FH103">
        <v>2.63E-2</v>
      </c>
      <c r="FI103">
        <v>3.4000000000000002E-2</v>
      </c>
      <c r="FJ103">
        <v>4.41E-2</v>
      </c>
      <c r="FK103">
        <v>4.0899999999999999E-2</v>
      </c>
      <c r="FL103" s="1">
        <f t="shared" si="221"/>
        <v>2.5666666666666672E-3</v>
      </c>
    </row>
    <row r="104" spans="1:168">
      <c r="A104" t="s">
        <v>118</v>
      </c>
      <c r="B104" s="1" t="s">
        <v>56</v>
      </c>
      <c r="C104" s="1">
        <v>63277</v>
      </c>
      <c r="D104" s="6">
        <f t="shared" si="290"/>
        <v>63345.4</v>
      </c>
      <c r="E104" s="6">
        <f t="shared" si="291"/>
        <v>63391</v>
      </c>
      <c r="F104" s="1">
        <v>63505</v>
      </c>
      <c r="G104" s="1">
        <f t="shared" si="265"/>
        <v>22.8</v>
      </c>
      <c r="H104" s="1">
        <v>1.31</v>
      </c>
      <c r="I104" s="1">
        <v>1.28</v>
      </c>
      <c r="J104" s="1">
        <v>1.22</v>
      </c>
      <c r="K104">
        <v>24856</v>
      </c>
      <c r="L104">
        <f t="shared" si="225"/>
        <v>0.39281255432463613</v>
      </c>
      <c r="M104" s="1">
        <v>21303</v>
      </c>
      <c r="N104">
        <f t="shared" si="226"/>
        <v>0.33545390126761671</v>
      </c>
      <c r="O104">
        <f t="shared" si="227"/>
        <v>-0.14602041718253211</v>
      </c>
      <c r="P104">
        <f t="shared" si="228"/>
        <v>0.18904897833911422</v>
      </c>
      <c r="Q104">
        <f t="shared" si="229"/>
        <v>0.14269001993838759</v>
      </c>
      <c r="R104">
        <f t="shared" si="230"/>
        <v>1306.2686597148329</v>
      </c>
      <c r="S104">
        <f t="shared" si="231"/>
        <v>1363.9911803485957</v>
      </c>
      <c r="T104">
        <f t="shared" si="232"/>
        <v>1542.6952319800243</v>
      </c>
      <c r="U104">
        <v>92297.113769999996</v>
      </c>
      <c r="V104">
        <f t="shared" si="233"/>
        <v>1.6714447169218608E-2</v>
      </c>
      <c r="W104">
        <f t="shared" si="234"/>
        <v>1626.3090843240691</v>
      </c>
      <c r="X104">
        <v>79429.064259999999</v>
      </c>
      <c r="Y104">
        <f t="shared" si="235"/>
        <v>2.0474987329582185E-2</v>
      </c>
      <c r="Z104" s="1">
        <v>1774</v>
      </c>
      <c r="AA104" s="1">
        <f t="shared" si="236"/>
        <v>2.8035463122461558E-2</v>
      </c>
      <c r="AB104" s="1">
        <v>27377</v>
      </c>
      <c r="AC104" s="1">
        <f t="shared" si="266"/>
        <v>0.43265325473710825</v>
      </c>
      <c r="AD104" s="1">
        <v>61.278341249999997</v>
      </c>
      <c r="AE104" s="1">
        <v>2827</v>
      </c>
      <c r="AF104">
        <f t="shared" si="165"/>
        <v>1.5935738444193912</v>
      </c>
      <c r="AG104">
        <f t="shared" si="166"/>
        <v>0.10326186214705775</v>
      </c>
      <c r="AH104">
        <f t="shared" si="222"/>
        <v>7.0604596324171593E-3</v>
      </c>
      <c r="AI104">
        <v>12832</v>
      </c>
      <c r="AJ104">
        <f t="shared" si="167"/>
        <v>16809.920000000002</v>
      </c>
      <c r="AK104">
        <f t="shared" si="267"/>
        <v>0.26536922965203474</v>
      </c>
      <c r="AL104">
        <f t="shared" si="168"/>
        <v>40.567501634999999</v>
      </c>
      <c r="AM104">
        <f t="shared" si="169"/>
        <v>6.5414240206275089E-3</v>
      </c>
      <c r="AN104">
        <v>18.170000000000002</v>
      </c>
      <c r="AO104">
        <f t="shared" si="170"/>
        <v>18170</v>
      </c>
      <c r="AP104">
        <f t="shared" si="171"/>
        <v>23257.600000000002</v>
      </c>
      <c r="AQ104">
        <f t="shared" si="268"/>
        <v>0.3668911990661135</v>
      </c>
      <c r="AR104">
        <f t="shared" si="172"/>
        <v>51.759606732800002</v>
      </c>
      <c r="AS104">
        <f t="shared" si="173"/>
        <v>7.0883691400540523E-3</v>
      </c>
      <c r="AT104" s="1">
        <v>2182</v>
      </c>
      <c r="AU104" s="1">
        <f t="shared" si="237"/>
        <v>3.4359499252027401E-2</v>
      </c>
      <c r="AV104" s="1">
        <f t="shared" si="238"/>
        <v>0.22557273628553426</v>
      </c>
      <c r="AW104" s="1">
        <v>22430</v>
      </c>
      <c r="AX104" s="1">
        <f t="shared" si="174"/>
        <v>27364.6</v>
      </c>
      <c r="AY104" s="1">
        <f t="shared" si="269"/>
        <v>0.43090465317691518</v>
      </c>
      <c r="AZ104" s="1">
        <f t="shared" si="239"/>
        <v>-4.0415772701295691E-3</v>
      </c>
      <c r="BA104" s="1">
        <f t="shared" si="175"/>
        <v>60.4858519474</v>
      </c>
      <c r="BB104" s="1">
        <v>2211</v>
      </c>
      <c r="BC104" s="1">
        <f t="shared" si="176"/>
        <v>2697.42</v>
      </c>
      <c r="BD104" s="1">
        <f t="shared" si="177"/>
        <v>1.2362144821264895</v>
      </c>
      <c r="BE104" s="1">
        <f t="shared" si="178"/>
        <v>9.8573339277753011E-2</v>
      </c>
      <c r="BF104" s="1">
        <f t="shared" si="179"/>
        <v>7.1240569373419846E-3</v>
      </c>
      <c r="BG104" s="1">
        <v>779</v>
      </c>
      <c r="BH104" s="1">
        <f t="shared" si="240"/>
        <v>1.231095026628949E-2</v>
      </c>
      <c r="BI104" s="1">
        <v>7293.1940000000004</v>
      </c>
      <c r="BJ104" s="1">
        <f t="shared" si="270"/>
        <v>0.11525821388498191</v>
      </c>
      <c r="BK104" s="1">
        <v>101.2013381</v>
      </c>
      <c r="BL104" s="1">
        <v>940.29600000000005</v>
      </c>
      <c r="BM104">
        <f t="shared" si="271"/>
        <v>1.2070551989730425</v>
      </c>
      <c r="BN104">
        <f t="shared" si="272"/>
        <v>0.128927874399063</v>
      </c>
      <c r="BO104">
        <f t="shared" si="180"/>
        <v>1.138900098050995E-3</v>
      </c>
      <c r="BP104">
        <v>5426</v>
      </c>
      <c r="BQ104">
        <f t="shared" si="181"/>
        <v>7108.06</v>
      </c>
      <c r="BR104">
        <f t="shared" si="273"/>
        <v>0.11221114713933451</v>
      </c>
      <c r="BS104">
        <f t="shared" si="182"/>
        <v>59.525235619600004</v>
      </c>
      <c r="BT104">
        <f t="shared" si="183"/>
        <v>1.8851021078929843E-3</v>
      </c>
      <c r="BU104">
        <v>4.55</v>
      </c>
      <c r="BV104">
        <f t="shared" si="184"/>
        <v>4550</v>
      </c>
      <c r="BW104">
        <f t="shared" si="185"/>
        <v>5824</v>
      </c>
      <c r="BX104">
        <f t="shared" si="274"/>
        <v>9.1874240822829745E-2</v>
      </c>
      <c r="BY104">
        <f t="shared" si="186"/>
        <v>76.247206297600002</v>
      </c>
      <c r="BZ104">
        <f t="shared" si="187"/>
        <v>1.2049522242721386E-3</v>
      </c>
      <c r="CA104" s="1">
        <v>255</v>
      </c>
      <c r="CB104" s="1">
        <f t="shared" si="241"/>
        <v>4.0154318557593894E-3</v>
      </c>
      <c r="CC104" s="1">
        <f t="shared" si="242"/>
        <v>-0.67383250123634553</v>
      </c>
      <c r="CD104" s="1">
        <v>6567</v>
      </c>
      <c r="CE104" s="1">
        <f t="shared" si="188"/>
        <v>8011.74</v>
      </c>
      <c r="CF104">
        <f t="shared" si="275"/>
        <v>0.12615920006298717</v>
      </c>
      <c r="CG104">
        <f t="shared" si="243"/>
        <v>9.4578822719598457E-2</v>
      </c>
      <c r="CH104">
        <f t="shared" si="189"/>
        <v>90.917938902799989</v>
      </c>
      <c r="CI104" s="1">
        <v>377</v>
      </c>
      <c r="CJ104" s="1">
        <f t="shared" si="190"/>
        <v>459.94</v>
      </c>
      <c r="CK104">
        <f t="shared" si="191"/>
        <v>1.8036862745098039</v>
      </c>
      <c r="CL104">
        <f t="shared" si="192"/>
        <v>5.7408253388152884E-2</v>
      </c>
      <c r="CM104">
        <f t="shared" si="193"/>
        <v>1.3876161468845381E-3</v>
      </c>
      <c r="CN104" s="1">
        <v>11544</v>
      </c>
      <c r="CO104" s="1">
        <f t="shared" si="244"/>
        <v>0.18243595619261344</v>
      </c>
      <c r="CP104" s="1">
        <v>97582456</v>
      </c>
      <c r="CQ104" s="1">
        <f t="shared" si="287"/>
        <v>1542.1473205114023</v>
      </c>
      <c r="CR104" s="1">
        <v>108123.0123</v>
      </c>
      <c r="CS104" s="1">
        <v>18410702</v>
      </c>
      <c r="CT104">
        <f t="shared" si="194"/>
        <v>1594.8286555786556</v>
      </c>
      <c r="CU104">
        <f t="shared" si="195"/>
        <v>0.18866815567749187</v>
      </c>
      <c r="CV104">
        <f t="shared" si="196"/>
        <v>1.4262896377993366E-2</v>
      </c>
      <c r="CW104" s="1">
        <v>8636</v>
      </c>
      <c r="CX104" s="1">
        <f t="shared" si="245"/>
        <v>0.13598929218171799</v>
      </c>
      <c r="CY104" s="1">
        <f t="shared" si="246"/>
        <v>-0.25459161110684608</v>
      </c>
      <c r="CZ104" s="1">
        <v>84625723</v>
      </c>
      <c r="DA104" s="1">
        <f t="shared" si="288"/>
        <v>103243382.06</v>
      </c>
      <c r="DB104" s="1">
        <f t="shared" si="277"/>
        <v>1625.7520204708292</v>
      </c>
      <c r="DC104" s="1">
        <f t="shared" si="247"/>
        <v>5.4213173311938909E-2</v>
      </c>
      <c r="DD104" s="1">
        <f t="shared" si="197"/>
        <v>93954.54819500001</v>
      </c>
      <c r="DE104" s="1">
        <v>12377309</v>
      </c>
      <c r="DF104" s="1">
        <f t="shared" si="262"/>
        <v>15100316.98</v>
      </c>
      <c r="DG104">
        <f t="shared" si="263"/>
        <v>1748.531377952756</v>
      </c>
      <c r="DH104">
        <f t="shared" si="264"/>
        <v>0.1462594180731549</v>
      </c>
      <c r="DI104">
        <f t="shared" si="201"/>
        <v>1.7303601067791063E-2</v>
      </c>
      <c r="DJ104" s="1">
        <v>2157395</v>
      </c>
      <c r="DK104">
        <f t="shared" si="278"/>
        <v>34.094457701850594</v>
      </c>
      <c r="DL104">
        <v>1889.3069949999999</v>
      </c>
      <c r="DM104" s="1">
        <v>447802</v>
      </c>
      <c r="DN104" s="3">
        <f t="shared" si="202"/>
        <v>1.8046012528445964E-2</v>
      </c>
      <c r="DO104" s="1">
        <v>2106057</v>
      </c>
      <c r="DP104" s="1">
        <f t="shared" si="289"/>
        <v>2569389.54</v>
      </c>
      <c r="DQ104" s="3">
        <f t="shared" si="279"/>
        <v>40.459641603023385</v>
      </c>
      <c r="DR104" s="3">
        <f t="shared" si="204"/>
        <v>1905.8896083399998</v>
      </c>
      <c r="DS104" s="3">
        <f t="shared" si="205"/>
        <v>367285.41603258811</v>
      </c>
      <c r="DT104" s="3">
        <f t="shared" si="206"/>
        <v>2.1228743483345348E-2</v>
      </c>
      <c r="DU104" s="3">
        <f t="shared" si="207"/>
        <v>0.82019601527592134</v>
      </c>
      <c r="DV104" s="3">
        <f t="shared" si="208"/>
        <v>558.20009388857341</v>
      </c>
      <c r="DW104" s="3">
        <f t="shared" si="209"/>
        <v>0.12051648382711223</v>
      </c>
      <c r="DX104" s="3">
        <f t="shared" si="210"/>
        <v>99774521.194000006</v>
      </c>
      <c r="DY104" s="3">
        <f t="shared" si="248"/>
        <v>1576.789689681875</v>
      </c>
      <c r="DZ104" s="3">
        <f t="shared" si="211"/>
        <v>99739851</v>
      </c>
      <c r="EA104" s="3">
        <f t="shared" si="212"/>
        <v>23917.980000000003</v>
      </c>
      <c r="EB104" s="3">
        <f t="shared" si="249"/>
        <v>0.37758037679136924</v>
      </c>
      <c r="EC104" s="3">
        <f t="shared" si="213"/>
        <v>29081.600000000002</v>
      </c>
      <c r="ED104" s="3">
        <f t="shared" si="250"/>
        <v>0.45876543988894325</v>
      </c>
      <c r="EE104" s="9">
        <f t="shared" si="214"/>
        <v>105848147.94000001</v>
      </c>
      <c r="EF104" s="13">
        <f t="shared" si="251"/>
        <v>1666.7687259270926</v>
      </c>
      <c r="EG104" s="14">
        <f t="shared" si="252"/>
        <v>5.7064703577159613E-2</v>
      </c>
      <c r="EH104" s="9">
        <f t="shared" si="215"/>
        <v>105812771.60000001</v>
      </c>
      <c r="EI104" s="10">
        <v>247149</v>
      </c>
      <c r="EJ104" s="10">
        <f t="shared" si="280"/>
        <v>323765.19</v>
      </c>
      <c r="EK104" s="10">
        <f t="shared" si="253"/>
        <v>5.1111081467636161</v>
      </c>
      <c r="EL104" s="10">
        <v>247000</v>
      </c>
      <c r="EM104" s="10">
        <f t="shared" si="281"/>
        <v>316160</v>
      </c>
      <c r="EN104" s="10">
        <f t="shared" si="254"/>
        <v>4.9874587875250427</v>
      </c>
      <c r="EO104" s="11">
        <v>1000173</v>
      </c>
      <c r="EP104" s="11">
        <f t="shared" si="282"/>
        <v>1220211.06</v>
      </c>
      <c r="EQ104" s="11">
        <f t="shared" si="255"/>
        <v>19.214409259113456</v>
      </c>
      <c r="ER104" s="10">
        <f t="shared" si="256"/>
        <v>29.312976193402115</v>
      </c>
      <c r="ES104" s="10">
        <f t="shared" si="216"/>
        <v>3.8594732413967612</v>
      </c>
      <c r="ET104" s="12">
        <v>148790</v>
      </c>
      <c r="EU104" s="12">
        <f t="shared" si="283"/>
        <v>194914.9</v>
      </c>
      <c r="EV104" s="12">
        <f t="shared" si="257"/>
        <v>3.0770174314156984</v>
      </c>
      <c r="EW104" s="10">
        <v>43000</v>
      </c>
      <c r="EX104" s="10">
        <f t="shared" si="284"/>
        <v>55040</v>
      </c>
      <c r="EY104" s="10">
        <f t="shared" si="258"/>
        <v>0.86826205612784146</v>
      </c>
      <c r="EZ104" s="3">
        <f t="shared" si="217"/>
        <v>165957.34938006074</v>
      </c>
      <c r="FA104" s="3">
        <f t="shared" si="259"/>
        <v>2.6132957937179868</v>
      </c>
      <c r="FB104" s="3">
        <f t="shared" si="260"/>
        <v>6.5585752812615272</v>
      </c>
      <c r="FC104" s="1">
        <f t="shared" si="218"/>
        <v>0.29630000000000001</v>
      </c>
      <c r="FD104">
        <f>3.04/10</f>
        <v>0.30399999999999999</v>
      </c>
      <c r="FE104">
        <f>4.2</f>
        <v>4.2</v>
      </c>
      <c r="FF104" s="7">
        <f t="shared" si="219"/>
        <v>13.940000000000001</v>
      </c>
      <c r="FG104" s="1">
        <f t="shared" si="220"/>
        <v>1.9480000000000002</v>
      </c>
      <c r="FH104">
        <v>2.63E-2</v>
      </c>
      <c r="FI104">
        <v>3.4000000000000002E-2</v>
      </c>
      <c r="FJ104">
        <v>4.41E-2</v>
      </c>
      <c r="FK104">
        <v>4.0899999999999999E-2</v>
      </c>
      <c r="FL104" s="1">
        <f t="shared" si="221"/>
        <v>2.5666666666666672E-3</v>
      </c>
    </row>
    <row r="105" spans="1:168">
      <c r="A105" t="s">
        <v>118</v>
      </c>
      <c r="B105" s="1" t="s">
        <v>57</v>
      </c>
      <c r="C105" s="1">
        <v>725263</v>
      </c>
      <c r="D105" s="6">
        <f t="shared" si="290"/>
        <v>737749.6</v>
      </c>
      <c r="E105" s="6">
        <f t="shared" si="291"/>
        <v>746074</v>
      </c>
      <c r="F105" s="1">
        <v>766885</v>
      </c>
      <c r="G105" s="1">
        <f t="shared" si="265"/>
        <v>4162.2</v>
      </c>
      <c r="H105" s="1">
        <v>1.31</v>
      </c>
      <c r="I105" s="1">
        <v>1.28</v>
      </c>
      <c r="J105" s="1">
        <v>1.22</v>
      </c>
      <c r="K105">
        <v>311364</v>
      </c>
      <c r="L105">
        <f t="shared" si="225"/>
        <v>0.42931184963247815</v>
      </c>
      <c r="M105" s="1">
        <v>273090</v>
      </c>
      <c r="N105">
        <f t="shared" si="226"/>
        <v>0.35610293590303632</v>
      </c>
      <c r="O105">
        <f t="shared" si="227"/>
        <v>-0.1705261892773608</v>
      </c>
      <c r="P105">
        <f t="shared" si="228"/>
        <v>0.18751175703816522</v>
      </c>
      <c r="Q105">
        <f t="shared" si="229"/>
        <v>0.18695815819212799</v>
      </c>
      <c r="R105">
        <f t="shared" si="230"/>
        <v>1045.5765602354768</v>
      </c>
      <c r="S105">
        <f t="shared" si="231"/>
        <v>1064.1199754175516</v>
      </c>
      <c r="T105">
        <f t="shared" si="232"/>
        <v>1259.1340894640978</v>
      </c>
      <c r="U105">
        <v>92297.113769999996</v>
      </c>
      <c r="V105">
        <f t="shared" si="233"/>
        <v>1.3642182707920855E-2</v>
      </c>
      <c r="W105">
        <f t="shared" si="234"/>
        <v>950.2220920998584</v>
      </c>
      <c r="X105">
        <v>79429.064259999999</v>
      </c>
      <c r="Y105">
        <f t="shared" si="235"/>
        <v>1.1963153550310482E-2</v>
      </c>
      <c r="Z105" s="1">
        <v>31447</v>
      </c>
      <c r="AA105" s="1">
        <f t="shared" si="236"/>
        <v>4.3359443401910752E-2</v>
      </c>
      <c r="AB105" s="1">
        <v>390325</v>
      </c>
      <c r="AC105" s="1">
        <f t="shared" si="266"/>
        <v>0.53818407943049629</v>
      </c>
      <c r="AD105" s="1">
        <v>61.278341249999997</v>
      </c>
      <c r="AE105" s="1">
        <v>47056</v>
      </c>
      <c r="AF105">
        <f t="shared" si="165"/>
        <v>1.4963589531592838</v>
      </c>
      <c r="AG105">
        <f t="shared" si="166"/>
        <v>0.12055594696727086</v>
      </c>
      <c r="AH105">
        <f t="shared" si="222"/>
        <v>8.7826150064154399E-3</v>
      </c>
      <c r="AI105">
        <v>195680</v>
      </c>
      <c r="AJ105">
        <f t="shared" si="167"/>
        <v>256340.80000000002</v>
      </c>
      <c r="AK105">
        <f t="shared" si="267"/>
        <v>0.34746315009862427</v>
      </c>
      <c r="AL105">
        <f t="shared" si="168"/>
        <v>40.567501634999999</v>
      </c>
      <c r="AM105">
        <f t="shared" si="169"/>
        <v>8.5650615910457528E-3</v>
      </c>
      <c r="AN105">
        <v>263.16000000000003</v>
      </c>
      <c r="AO105">
        <f t="shared" si="170"/>
        <v>263160</v>
      </c>
      <c r="AP105">
        <f t="shared" si="171"/>
        <v>336844.79999999999</v>
      </c>
      <c r="AQ105">
        <f t="shared" si="268"/>
        <v>0.45148979859906657</v>
      </c>
      <c r="AR105">
        <f t="shared" si="172"/>
        <v>51.759606732800002</v>
      </c>
      <c r="AS105">
        <f t="shared" si="173"/>
        <v>8.7228212712241876E-3</v>
      </c>
      <c r="AT105" s="1">
        <v>35337</v>
      </c>
      <c r="AU105" s="1">
        <f t="shared" si="237"/>
        <v>4.607861674175398E-2</v>
      </c>
      <c r="AV105" s="1">
        <f t="shared" si="238"/>
        <v>6.2712367283833739E-2</v>
      </c>
      <c r="AW105" s="1">
        <v>324906</v>
      </c>
      <c r="AX105" s="1">
        <f t="shared" si="174"/>
        <v>396385.32</v>
      </c>
      <c r="AY105" s="1">
        <f t="shared" si="269"/>
        <v>0.51687713281652403</v>
      </c>
      <c r="AZ105" s="1">
        <f t="shared" si="239"/>
        <v>-3.9590443917477382E-2</v>
      </c>
      <c r="BA105" s="1">
        <f t="shared" si="175"/>
        <v>60.4858519474</v>
      </c>
      <c r="BB105" s="1">
        <v>39348</v>
      </c>
      <c r="BC105" s="1">
        <f t="shared" si="176"/>
        <v>48004.56</v>
      </c>
      <c r="BD105" s="1">
        <f t="shared" si="177"/>
        <v>1.3584786484421427</v>
      </c>
      <c r="BE105" s="1">
        <f t="shared" si="178"/>
        <v>0.12110579675352255</v>
      </c>
      <c r="BF105" s="1">
        <f t="shared" si="179"/>
        <v>8.5454220478867228E-3</v>
      </c>
      <c r="BG105" s="1">
        <v>14478</v>
      </c>
      <c r="BH105" s="1">
        <f t="shared" si="240"/>
        <v>1.9962413634778006E-2</v>
      </c>
      <c r="BI105" s="1">
        <v>551539.12699999998</v>
      </c>
      <c r="BJ105" s="1">
        <f t="shared" si="270"/>
        <v>0.76046775721359006</v>
      </c>
      <c r="BK105" s="1">
        <v>101.2013381</v>
      </c>
      <c r="BL105" s="1">
        <v>29140.453000000001</v>
      </c>
      <c r="BM105">
        <f t="shared" si="271"/>
        <v>2.0127402265506285</v>
      </c>
      <c r="BN105">
        <f t="shared" si="272"/>
        <v>5.283478827423245E-2</v>
      </c>
      <c r="BO105">
        <f t="shared" si="180"/>
        <v>7.514404171831697E-3</v>
      </c>
      <c r="BP105">
        <v>319986</v>
      </c>
      <c r="BQ105">
        <f t="shared" si="181"/>
        <v>419181.66000000003</v>
      </c>
      <c r="BR105">
        <f t="shared" si="273"/>
        <v>0.56818961338643903</v>
      </c>
      <c r="BS105">
        <f t="shared" si="182"/>
        <v>59.525235619600004</v>
      </c>
      <c r="BT105">
        <f t="shared" si="183"/>
        <v>9.5453568133269176E-3</v>
      </c>
      <c r="BU105">
        <v>350.76</v>
      </c>
      <c r="BV105">
        <f t="shared" si="184"/>
        <v>350760</v>
      </c>
      <c r="BW105">
        <f t="shared" si="185"/>
        <v>448972.79999999999</v>
      </c>
      <c r="BX105">
        <f t="shared" si="274"/>
        <v>0.60178052043094921</v>
      </c>
      <c r="BY105">
        <f t="shared" si="186"/>
        <v>76.247206297600002</v>
      </c>
      <c r="BZ105">
        <f t="shared" si="187"/>
        <v>7.892492717466176E-3</v>
      </c>
      <c r="CA105" s="1">
        <v>12955</v>
      </c>
      <c r="CB105" s="1">
        <f t="shared" si="241"/>
        <v>1.6893015250004889E-2</v>
      </c>
      <c r="CC105" s="1">
        <f t="shared" si="242"/>
        <v>-0.15375888111173538</v>
      </c>
      <c r="CD105" s="1">
        <v>423130</v>
      </c>
      <c r="CE105" s="1">
        <f t="shared" si="188"/>
        <v>516218.6</v>
      </c>
      <c r="CF105">
        <f t="shared" si="275"/>
        <v>0.67313691101012529</v>
      </c>
      <c r="CG105">
        <f t="shared" si="243"/>
        <v>-0.1148383286142879</v>
      </c>
      <c r="CH105">
        <f t="shared" si="189"/>
        <v>90.917938902799989</v>
      </c>
      <c r="CI105" s="1">
        <v>23526</v>
      </c>
      <c r="CJ105" s="1">
        <f t="shared" si="190"/>
        <v>28701.72</v>
      </c>
      <c r="CK105">
        <f t="shared" si="191"/>
        <v>2.215493631802393</v>
      </c>
      <c r="CL105">
        <f t="shared" si="192"/>
        <v>5.5599933826483594E-2</v>
      </c>
      <c r="CM105">
        <f t="shared" si="193"/>
        <v>7.4037854259957799E-3</v>
      </c>
      <c r="CN105" s="1">
        <v>117658</v>
      </c>
      <c r="CO105" s="1">
        <f t="shared" si="244"/>
        <v>0.16222804692918294</v>
      </c>
      <c r="CP105" s="1">
        <v>912261503</v>
      </c>
      <c r="CQ105" s="1">
        <f t="shared" si="287"/>
        <v>1257.8354376274538</v>
      </c>
      <c r="CR105" s="1">
        <v>108123.0123</v>
      </c>
      <c r="CS105" s="1">
        <v>170962354</v>
      </c>
      <c r="CT105">
        <f t="shared" si="194"/>
        <v>1453.0448758265482</v>
      </c>
      <c r="CU105">
        <f t="shared" si="195"/>
        <v>0.18740498578289783</v>
      </c>
      <c r="CV105">
        <f t="shared" si="196"/>
        <v>1.1633373977201463E-2</v>
      </c>
      <c r="CW105" s="1">
        <v>80255</v>
      </c>
      <c r="CX105" s="1">
        <f t="shared" si="245"/>
        <v>0.10465063210259687</v>
      </c>
      <c r="CY105" s="1">
        <f t="shared" si="246"/>
        <v>-0.35491652594276879</v>
      </c>
      <c r="CZ105" s="1">
        <v>596556119</v>
      </c>
      <c r="DA105" s="1">
        <f t="shared" si="288"/>
        <v>727798465.17999995</v>
      </c>
      <c r="DB105" s="1">
        <f t="shared" si="277"/>
        <v>949.03207805603176</v>
      </c>
      <c r="DC105" s="1">
        <f t="shared" si="247"/>
        <v>-0.24550378398774569</v>
      </c>
      <c r="DD105" s="1">
        <f t="shared" si="197"/>
        <v>93954.54819500001</v>
      </c>
      <c r="DE105" s="1">
        <v>112059610</v>
      </c>
      <c r="DF105" s="1">
        <f t="shared" si="262"/>
        <v>136712724.19999999</v>
      </c>
      <c r="DG105">
        <f t="shared" si="263"/>
        <v>1703.4792125101239</v>
      </c>
      <c r="DH105">
        <f t="shared" si="264"/>
        <v>0.18784420514845143</v>
      </c>
      <c r="DI105">
        <f t="shared" si="201"/>
        <v>1.0100970057206199E-2</v>
      </c>
      <c r="DJ105" s="1">
        <v>1933935</v>
      </c>
      <c r="DK105">
        <f t="shared" si="278"/>
        <v>2.6665292452531011</v>
      </c>
      <c r="DL105">
        <v>1889.3069949999999</v>
      </c>
      <c r="DM105" s="1">
        <v>560453</v>
      </c>
      <c r="DN105" s="3">
        <f t="shared" si="202"/>
        <v>1.4113795440920925E-3</v>
      </c>
      <c r="DO105" s="1">
        <v>2415510</v>
      </c>
      <c r="DP105" s="1">
        <f t="shared" si="289"/>
        <v>2946922.1999999997</v>
      </c>
      <c r="DQ105" s="3">
        <f t="shared" si="279"/>
        <v>3.8427172261812395</v>
      </c>
      <c r="DR105" s="3">
        <f t="shared" si="204"/>
        <v>1905.8896083399998</v>
      </c>
      <c r="DS105" s="3">
        <f t="shared" si="205"/>
        <v>448226.70957956981</v>
      </c>
      <c r="DT105" s="3">
        <f t="shared" si="206"/>
        <v>2.0162328444238626E-3</v>
      </c>
      <c r="DU105" s="3">
        <f t="shared" si="207"/>
        <v>0.79975789152626497</v>
      </c>
      <c r="DV105" s="3">
        <f t="shared" si="208"/>
        <v>527.26785996610454</v>
      </c>
      <c r="DW105" s="3">
        <f t="shared" si="209"/>
        <v>0.12089094279214312</v>
      </c>
      <c r="DX105" s="3">
        <f t="shared" si="210"/>
        <v>915137302.12699997</v>
      </c>
      <c r="DY105" s="3">
        <f t="shared" si="248"/>
        <v>1261.8006187093508</v>
      </c>
      <c r="DZ105" s="3">
        <f t="shared" si="211"/>
        <v>914195438</v>
      </c>
      <c r="EA105" s="3">
        <f t="shared" si="212"/>
        <v>675522.46000000008</v>
      </c>
      <c r="EB105" s="3">
        <f t="shared" si="249"/>
        <v>0.91565276348506341</v>
      </c>
      <c r="EC105" s="3">
        <f t="shared" si="213"/>
        <v>785817.59999999998</v>
      </c>
      <c r="ED105" s="3">
        <f t="shared" si="250"/>
        <v>1.0532703190300157</v>
      </c>
      <c r="EE105" s="9">
        <f t="shared" si="214"/>
        <v>731657991.29999995</v>
      </c>
      <c r="EF105" s="13">
        <f t="shared" si="251"/>
        <v>954.06480932603972</v>
      </c>
      <c r="EG105" s="14">
        <f t="shared" si="252"/>
        <v>-0.24388624067888212</v>
      </c>
      <c r="EH105" s="9">
        <f t="shared" si="215"/>
        <v>730745387.38</v>
      </c>
      <c r="EI105" s="10">
        <v>1896843</v>
      </c>
      <c r="EJ105" s="10">
        <f t="shared" si="280"/>
        <v>2484864.33</v>
      </c>
      <c r="EK105" s="10">
        <f t="shared" si="253"/>
        <v>3.3681676411617167</v>
      </c>
      <c r="EL105" s="10">
        <v>2524000</v>
      </c>
      <c r="EM105" s="10">
        <f t="shared" si="281"/>
        <v>3230720</v>
      </c>
      <c r="EN105" s="10">
        <f t="shared" si="254"/>
        <v>4.3302943139688557</v>
      </c>
      <c r="EO105" s="11">
        <v>10991654</v>
      </c>
      <c r="EP105" s="11">
        <f t="shared" si="282"/>
        <v>13409817.879999999</v>
      </c>
      <c r="EQ105" s="11">
        <f t="shared" si="255"/>
        <v>17.48608706650932</v>
      </c>
      <c r="ER105" s="10">
        <f t="shared" si="256"/>
        <v>25.184549021639892</v>
      </c>
      <c r="ES105" s="10">
        <f t="shared" si="216"/>
        <v>4.1507211643225039</v>
      </c>
      <c r="ET105" s="12">
        <v>99648</v>
      </c>
      <c r="EU105" s="12">
        <f t="shared" si="283"/>
        <v>130538.88</v>
      </c>
      <c r="EV105" s="12">
        <f t="shared" si="257"/>
        <v>0.1769419868204605</v>
      </c>
      <c r="EW105" s="10">
        <v>19000</v>
      </c>
      <c r="EX105" s="10">
        <f t="shared" si="284"/>
        <v>24320</v>
      </c>
      <c r="EY105" s="10">
        <f t="shared" si="258"/>
        <v>3.2597302680431164E-2</v>
      </c>
      <c r="EZ105" s="3">
        <f t="shared" si="217"/>
        <v>78863.702122127579</v>
      </c>
      <c r="FA105" s="3">
        <f t="shared" si="259"/>
        <v>0.1028364123983747</v>
      </c>
      <c r="FB105" s="3">
        <f t="shared" si="260"/>
        <v>0.31237570189926639</v>
      </c>
      <c r="FC105" s="1">
        <f t="shared" si="218"/>
        <v>0.55730000000000002</v>
      </c>
      <c r="FD105">
        <f>5.65/10</f>
        <v>0.56500000000000006</v>
      </c>
      <c r="FE105">
        <f>6.5</f>
        <v>6.5</v>
      </c>
      <c r="FF105" s="7">
        <f t="shared" si="219"/>
        <v>21.337499999999999</v>
      </c>
      <c r="FG105" s="1">
        <f t="shared" si="220"/>
        <v>2.9674999999999998</v>
      </c>
      <c r="FH105">
        <v>2.63E-2</v>
      </c>
      <c r="FI105">
        <v>3.4000000000000002E-2</v>
      </c>
      <c r="FJ105">
        <v>4.41E-2</v>
      </c>
      <c r="FK105">
        <v>4.0899999999999999E-2</v>
      </c>
      <c r="FL105" s="1">
        <f t="shared" si="221"/>
        <v>2.5666666666666672E-3</v>
      </c>
    </row>
    <row r="106" spans="1:168">
      <c r="A106" t="s">
        <v>118</v>
      </c>
      <c r="B106" s="1" t="s">
        <v>58</v>
      </c>
      <c r="C106" s="1">
        <v>90217</v>
      </c>
      <c r="D106" s="6">
        <f t="shared" si="290"/>
        <v>91366</v>
      </c>
      <c r="E106" s="6">
        <f t="shared" si="291"/>
        <v>92132</v>
      </c>
      <c r="F106" s="1">
        <v>94047</v>
      </c>
      <c r="G106" s="1">
        <f t="shared" si="265"/>
        <v>383</v>
      </c>
      <c r="H106" s="1">
        <v>1.31</v>
      </c>
      <c r="I106" s="1">
        <v>1.28</v>
      </c>
      <c r="J106" s="1">
        <v>1.22</v>
      </c>
      <c r="K106">
        <v>35725</v>
      </c>
      <c r="L106">
        <f t="shared" si="225"/>
        <v>0.39598966935278274</v>
      </c>
      <c r="M106" s="1">
        <v>31996</v>
      </c>
      <c r="N106">
        <f t="shared" si="226"/>
        <v>0.3402128722872606</v>
      </c>
      <c r="O106">
        <f t="shared" si="227"/>
        <v>-0.14085417217243415</v>
      </c>
      <c r="P106">
        <f t="shared" si="228"/>
        <v>0.14045469955480122</v>
      </c>
      <c r="Q106">
        <f t="shared" si="229"/>
        <v>0.17866651769829808</v>
      </c>
      <c r="R106">
        <f t="shared" si="230"/>
        <v>1141.2843506257464</v>
      </c>
      <c r="S106">
        <f t="shared" si="231"/>
        <v>1222.9792450863611</v>
      </c>
      <c r="T106">
        <f t="shared" si="232"/>
        <v>1737.0489101943092</v>
      </c>
      <c r="U106">
        <v>92297.113769999996</v>
      </c>
      <c r="V106">
        <f t="shared" si="233"/>
        <v>1.8820186669357312E-2</v>
      </c>
      <c r="W106">
        <f t="shared" si="234"/>
        <v>941.11992408051299</v>
      </c>
      <c r="X106">
        <v>79429.064259999999</v>
      </c>
      <c r="Y106">
        <f t="shared" si="235"/>
        <v>1.1848558620807715E-2</v>
      </c>
      <c r="Z106" s="1">
        <v>3234</v>
      </c>
      <c r="AA106" s="1">
        <f t="shared" si="236"/>
        <v>3.5846902468492634E-2</v>
      </c>
      <c r="AB106" s="1">
        <v>48386</v>
      </c>
      <c r="AC106" s="1">
        <f t="shared" si="266"/>
        <v>0.53632907323453449</v>
      </c>
      <c r="AD106" s="1">
        <v>61.278341249999997</v>
      </c>
      <c r="AE106" s="1">
        <v>4841</v>
      </c>
      <c r="AF106">
        <f t="shared" si="165"/>
        <v>1.4969078540507113</v>
      </c>
      <c r="AG106">
        <f t="shared" si="166"/>
        <v>0.10004960112429215</v>
      </c>
      <c r="AH106">
        <f t="shared" si="222"/>
        <v>8.7523431981692962E-3</v>
      </c>
      <c r="AI106">
        <v>20558</v>
      </c>
      <c r="AJ106">
        <f t="shared" si="167"/>
        <v>26930.98</v>
      </c>
      <c r="AK106">
        <f t="shared" si="267"/>
        <v>0.29475931965939189</v>
      </c>
      <c r="AL106">
        <f t="shared" si="168"/>
        <v>40.567501634999999</v>
      </c>
      <c r="AM106">
        <f t="shared" si="169"/>
        <v>7.2658977698810386E-3</v>
      </c>
      <c r="AN106">
        <v>28.25</v>
      </c>
      <c r="AO106">
        <f t="shared" si="170"/>
        <v>28250</v>
      </c>
      <c r="AP106">
        <f t="shared" si="171"/>
        <v>36160</v>
      </c>
      <c r="AQ106">
        <f t="shared" si="268"/>
        <v>0.39248035427430211</v>
      </c>
      <c r="AR106">
        <f t="shared" si="172"/>
        <v>51.759606732800002</v>
      </c>
      <c r="AS106">
        <f t="shared" si="173"/>
        <v>7.5827537929415486E-3</v>
      </c>
      <c r="AT106" s="1">
        <v>3294</v>
      </c>
      <c r="AU106" s="1">
        <f t="shared" si="237"/>
        <v>3.5025040671153786E-2</v>
      </c>
      <c r="AV106" s="1">
        <f t="shared" si="238"/>
        <v>-2.2926996218465938E-2</v>
      </c>
      <c r="AW106" s="1">
        <v>34485</v>
      </c>
      <c r="AX106" s="1">
        <f t="shared" si="174"/>
        <v>42071.7</v>
      </c>
      <c r="AY106" s="1">
        <f t="shared" si="269"/>
        <v>0.44734760279434749</v>
      </c>
      <c r="AZ106" s="1">
        <f t="shared" si="239"/>
        <v>-0.16590834784239969</v>
      </c>
      <c r="BA106" s="1">
        <f t="shared" si="175"/>
        <v>60.4858519474</v>
      </c>
      <c r="BB106" s="1">
        <v>3505</v>
      </c>
      <c r="BC106" s="1">
        <f t="shared" si="176"/>
        <v>4276.0999999999995</v>
      </c>
      <c r="BD106" s="1">
        <f t="shared" si="177"/>
        <v>1.2981481481481481</v>
      </c>
      <c r="BE106" s="1">
        <f t="shared" si="178"/>
        <v>0.10163839350442221</v>
      </c>
      <c r="BF106" s="1">
        <f t="shared" si="179"/>
        <v>7.3959048007354198E-3</v>
      </c>
      <c r="BG106" s="1">
        <v>465</v>
      </c>
      <c r="BH106" s="1">
        <f t="shared" si="240"/>
        <v>5.1542392232062691E-3</v>
      </c>
      <c r="BI106" s="1">
        <v>13145.531000000001</v>
      </c>
      <c r="BJ106" s="1">
        <f t="shared" si="270"/>
        <v>0.14571013223671814</v>
      </c>
      <c r="BK106" s="1">
        <v>101.2013381</v>
      </c>
      <c r="BL106" s="1">
        <v>860.74</v>
      </c>
      <c r="BM106">
        <f t="shared" si="271"/>
        <v>1.8510537634408601</v>
      </c>
      <c r="BN106">
        <f t="shared" si="272"/>
        <v>6.5477765789757753E-2</v>
      </c>
      <c r="BO106">
        <f t="shared" si="180"/>
        <v>1.439804403502429E-3</v>
      </c>
      <c r="BP106">
        <v>6535</v>
      </c>
      <c r="BQ106">
        <f t="shared" si="181"/>
        <v>8560.85</v>
      </c>
      <c r="BR106">
        <f t="shared" si="273"/>
        <v>9.3698421732373097E-2</v>
      </c>
      <c r="BS106">
        <f t="shared" si="182"/>
        <v>59.525235619600004</v>
      </c>
      <c r="BT106">
        <f t="shared" si="183"/>
        <v>1.5740957722731098E-3</v>
      </c>
      <c r="BU106">
        <v>12.18</v>
      </c>
      <c r="BV106">
        <f t="shared" si="184"/>
        <v>12180</v>
      </c>
      <c r="BW106">
        <f t="shared" si="185"/>
        <v>15590.4</v>
      </c>
      <c r="BX106">
        <f t="shared" si="274"/>
        <v>0.16921807840923891</v>
      </c>
      <c r="BY106">
        <f t="shared" si="186"/>
        <v>76.247206297600002</v>
      </c>
      <c r="BZ106">
        <f t="shared" si="187"/>
        <v>2.2193348009206379E-3</v>
      </c>
      <c r="CA106" s="1">
        <v>615</v>
      </c>
      <c r="CB106" s="1">
        <f t="shared" si="241"/>
        <v>6.5392835497145047E-3</v>
      </c>
      <c r="CC106" s="1">
        <f t="shared" si="242"/>
        <v>0.26871944947224408</v>
      </c>
      <c r="CD106" s="1">
        <v>16044</v>
      </c>
      <c r="CE106" s="1">
        <f t="shared" si="188"/>
        <v>19573.68</v>
      </c>
      <c r="CF106">
        <f t="shared" si="275"/>
        <v>0.20812657501036716</v>
      </c>
      <c r="CG106">
        <f t="shared" si="243"/>
        <v>0.42836034677566798</v>
      </c>
      <c r="CH106">
        <f t="shared" si="189"/>
        <v>90.917938902799989</v>
      </c>
      <c r="CI106" s="1">
        <v>1021</v>
      </c>
      <c r="CJ106" s="1">
        <f t="shared" si="190"/>
        <v>1245.6199999999999</v>
      </c>
      <c r="CK106">
        <f t="shared" si="191"/>
        <v>2.0253983739837396</v>
      </c>
      <c r="CL106">
        <f t="shared" si="192"/>
        <v>6.3637496883570177E-2</v>
      </c>
      <c r="CM106">
        <f t="shared" si="193"/>
        <v>2.2891695249809222E-3</v>
      </c>
      <c r="CN106" s="1">
        <v>15558</v>
      </c>
      <c r="CO106" s="1">
        <f t="shared" si="244"/>
        <v>0.17245086846159816</v>
      </c>
      <c r="CP106" s="1">
        <v>156649810</v>
      </c>
      <c r="CQ106" s="1">
        <f t="shared" si="287"/>
        <v>1736.3668709888379</v>
      </c>
      <c r="CR106" s="1">
        <v>108123.0123</v>
      </c>
      <c r="CS106" s="1">
        <v>21972011</v>
      </c>
      <c r="CT106">
        <f t="shared" si="194"/>
        <v>1412.2644941509191</v>
      </c>
      <c r="CU106">
        <f t="shared" si="195"/>
        <v>0.14026197031455065</v>
      </c>
      <c r="CV106">
        <f t="shared" si="196"/>
        <v>1.605917957752679E-2</v>
      </c>
      <c r="CW106" s="1">
        <v>9523</v>
      </c>
      <c r="CX106" s="1">
        <f t="shared" si="245"/>
        <v>0.10125788169744915</v>
      </c>
      <c r="CY106" s="1">
        <f t="shared" si="246"/>
        <v>-0.41283054935732294</v>
      </c>
      <c r="CZ106" s="1">
        <v>72498246</v>
      </c>
      <c r="DA106" s="1">
        <f t="shared" si="288"/>
        <v>88447860.120000005</v>
      </c>
      <c r="DB106" s="1">
        <f t="shared" si="277"/>
        <v>940.46444990270822</v>
      </c>
      <c r="DC106" s="1">
        <f t="shared" si="247"/>
        <v>-0.45837226820209592</v>
      </c>
      <c r="DD106" s="1">
        <f t="shared" si="197"/>
        <v>93954.54819500001</v>
      </c>
      <c r="DE106" s="1">
        <v>13460275</v>
      </c>
      <c r="DF106" s="1">
        <f t="shared" si="262"/>
        <v>16421535.5</v>
      </c>
      <c r="DG106">
        <f t="shared" si="263"/>
        <v>1724.4078021631838</v>
      </c>
      <c r="DH106">
        <f t="shared" si="264"/>
        <v>0.18566345729247022</v>
      </c>
      <c r="DI106">
        <f t="shared" si="201"/>
        <v>1.0009780984213779E-2</v>
      </c>
      <c r="DJ106" s="1">
        <v>3025049</v>
      </c>
      <c r="DK106">
        <f t="shared" si="278"/>
        <v>33.530809049292259</v>
      </c>
      <c r="DL106">
        <v>1889.3069949999999</v>
      </c>
      <c r="DM106" s="1">
        <v>458014</v>
      </c>
      <c r="DN106" s="3">
        <f t="shared" si="202"/>
        <v>1.7747676337424592E-2</v>
      </c>
      <c r="DO106" s="1">
        <v>2813980</v>
      </c>
      <c r="DP106" s="1">
        <f t="shared" si="289"/>
        <v>3433055.6</v>
      </c>
      <c r="DQ106" s="3">
        <f t="shared" si="279"/>
        <v>36.503616276967897</v>
      </c>
      <c r="DR106" s="3">
        <f t="shared" si="204"/>
        <v>1905.8896083399998</v>
      </c>
      <c r="DS106" s="3">
        <f t="shared" si="205"/>
        <v>342338.72626187943</v>
      </c>
      <c r="DT106" s="3">
        <f t="shared" si="206"/>
        <v>1.9153059084446124E-2</v>
      </c>
      <c r="DU106" s="3">
        <f t="shared" si="207"/>
        <v>0.74744162026025285</v>
      </c>
      <c r="DV106" s="3">
        <f t="shared" si="208"/>
        <v>523.89063407562105</v>
      </c>
      <c r="DW106" s="3">
        <f t="shared" si="209"/>
        <v>0.10945478081817718</v>
      </c>
      <c r="DX106" s="3">
        <f t="shared" si="210"/>
        <v>159736390.53099999</v>
      </c>
      <c r="DY106" s="3">
        <f t="shared" si="248"/>
        <v>1770.5797192436014</v>
      </c>
      <c r="DZ106" s="3">
        <f t="shared" si="211"/>
        <v>159674859</v>
      </c>
      <c r="EA106" s="3">
        <f t="shared" si="212"/>
        <v>35491.83</v>
      </c>
      <c r="EB106" s="3">
        <f t="shared" si="249"/>
        <v>0.38845774139176503</v>
      </c>
      <c r="EC106" s="3">
        <f t="shared" si="213"/>
        <v>51750.400000000001</v>
      </c>
      <c r="ED106" s="3">
        <f t="shared" si="250"/>
        <v>0.56169843268354103</v>
      </c>
      <c r="EE106" s="9">
        <f t="shared" si="214"/>
        <v>91942561.099999994</v>
      </c>
      <c r="EF106" s="13">
        <f t="shared" si="251"/>
        <v>977.62354035748081</v>
      </c>
      <c r="EG106" s="14">
        <f t="shared" si="252"/>
        <v>-0.44785115872945536</v>
      </c>
      <c r="EH106" s="9">
        <f t="shared" si="215"/>
        <v>91880915.719999999</v>
      </c>
      <c r="EI106" s="10">
        <v>216382</v>
      </c>
      <c r="EJ106" s="10">
        <f t="shared" si="280"/>
        <v>283460.42</v>
      </c>
      <c r="EK106" s="10">
        <f t="shared" si="253"/>
        <v>3.1024715977497097</v>
      </c>
      <c r="EL106" s="10">
        <v>173000</v>
      </c>
      <c r="EM106" s="10">
        <f t="shared" si="281"/>
        <v>221440</v>
      </c>
      <c r="EN106" s="10">
        <f t="shared" si="254"/>
        <v>2.4035080102461683</v>
      </c>
      <c r="EO106" s="11">
        <v>823485</v>
      </c>
      <c r="EP106" s="11">
        <f t="shared" si="282"/>
        <v>1004651.7</v>
      </c>
      <c r="EQ106" s="11">
        <f t="shared" si="255"/>
        <v>10.682442821142621</v>
      </c>
      <c r="ER106" s="10">
        <f t="shared" si="256"/>
        <v>16.188422429138498</v>
      </c>
      <c r="ES106" s="10">
        <f t="shared" si="216"/>
        <v>4.5369025469653179</v>
      </c>
      <c r="ET106" s="12">
        <v>266768</v>
      </c>
      <c r="EU106" s="12">
        <f t="shared" si="283"/>
        <v>349466.08</v>
      </c>
      <c r="EV106" s="12">
        <f t="shared" si="257"/>
        <v>3.8249029179344616</v>
      </c>
      <c r="EW106" s="10">
        <v>76000</v>
      </c>
      <c r="EX106" s="10">
        <f t="shared" si="284"/>
        <v>97280</v>
      </c>
      <c r="EY106" s="10">
        <f t="shared" si="258"/>
        <v>1.0558763513220162</v>
      </c>
      <c r="EZ106" s="3">
        <f t="shared" si="217"/>
        <v>344804.59356936417</v>
      </c>
      <c r="FA106" s="3">
        <f t="shared" si="259"/>
        <v>3.6663008237303067</v>
      </c>
      <c r="FB106" s="3">
        <f t="shared" si="260"/>
        <v>8.5470800929867856</v>
      </c>
      <c r="FC106" s="1">
        <f t="shared" si="218"/>
        <v>0.36330000000000001</v>
      </c>
      <c r="FD106">
        <f>3.71/10</f>
        <v>0.371</v>
      </c>
      <c r="FE106">
        <f>4.8</f>
        <v>4.8</v>
      </c>
      <c r="FF106" s="7">
        <f t="shared" si="219"/>
        <v>15.872500000000002</v>
      </c>
      <c r="FG106" s="1">
        <f t="shared" si="220"/>
        <v>2.2145000000000001</v>
      </c>
      <c r="FH106">
        <v>2.63E-2</v>
      </c>
      <c r="FI106">
        <v>3.4000000000000002E-2</v>
      </c>
      <c r="FJ106">
        <v>4.41E-2</v>
      </c>
      <c r="FK106">
        <v>4.0899999999999999E-2</v>
      </c>
      <c r="FL106" s="1">
        <f t="shared" si="221"/>
        <v>2.5666666666666672E-3</v>
      </c>
    </row>
    <row r="107" spans="1:168">
      <c r="A107" t="s">
        <v>136</v>
      </c>
      <c r="B107" s="1" t="s">
        <v>95</v>
      </c>
      <c r="C107" s="1">
        <v>90786</v>
      </c>
      <c r="D107" s="6">
        <f t="shared" si="290"/>
        <v>92787.9</v>
      </c>
      <c r="E107" s="6">
        <f t="shared" si="291"/>
        <v>94122.5</v>
      </c>
      <c r="F107" s="1">
        <v>97459</v>
      </c>
      <c r="G107" s="1">
        <f t="shared" si="265"/>
        <v>667.3</v>
      </c>
      <c r="H107" s="1">
        <v>1.31</v>
      </c>
      <c r="I107" s="1">
        <v>1.28</v>
      </c>
      <c r="J107" s="1">
        <v>1.22</v>
      </c>
      <c r="K107">
        <v>33241</v>
      </c>
      <c r="L107">
        <f t="shared" si="225"/>
        <v>0.36614676271671842</v>
      </c>
      <c r="M107" s="1">
        <v>29425</v>
      </c>
      <c r="N107">
        <f t="shared" si="226"/>
        <v>0.30192183379677606</v>
      </c>
      <c r="O107">
        <f t="shared" si="227"/>
        <v>-0.17540761099021954</v>
      </c>
      <c r="P107">
        <f t="shared" si="228"/>
        <v>0.20553382830168024</v>
      </c>
      <c r="Q107">
        <f t="shared" si="229"/>
        <v>0.16578781413678173</v>
      </c>
      <c r="R107">
        <f t="shared" si="230"/>
        <v>853.87440499771446</v>
      </c>
      <c r="S107">
        <f t="shared" si="231"/>
        <v>841.07856682936961</v>
      </c>
      <c r="T107">
        <f t="shared" si="232"/>
        <v>593.19390733152693</v>
      </c>
      <c r="U107">
        <v>92297.113769999996</v>
      </c>
      <c r="V107">
        <f t="shared" si="233"/>
        <v>6.427003869370583E-3</v>
      </c>
      <c r="W107">
        <f t="shared" si="234"/>
        <v>494.30912712012235</v>
      </c>
      <c r="X107">
        <v>79429.064259999999</v>
      </c>
      <c r="Y107">
        <f t="shared" si="235"/>
        <v>6.2232777349871598E-3</v>
      </c>
      <c r="Z107" s="1">
        <v>3067</v>
      </c>
      <c r="AA107" s="1">
        <f t="shared" si="236"/>
        <v>3.3782741832441128E-2</v>
      </c>
      <c r="AB107" s="1">
        <v>34874</v>
      </c>
      <c r="AC107" s="1">
        <f t="shared" si="266"/>
        <v>0.38413411759522392</v>
      </c>
      <c r="AD107" s="1">
        <v>61.278341249999997</v>
      </c>
      <c r="AE107" s="1">
        <v>4015</v>
      </c>
      <c r="AF107">
        <f t="shared" si="165"/>
        <v>1.3090968373002934</v>
      </c>
      <c r="AG107">
        <f t="shared" si="166"/>
        <v>0.11512874921144692</v>
      </c>
      <c r="AH107">
        <f t="shared" si="222"/>
        <v>6.2686768238072038E-3</v>
      </c>
      <c r="AI107">
        <v>20946</v>
      </c>
      <c r="AJ107">
        <f t="shared" si="167"/>
        <v>27439.260000000002</v>
      </c>
      <c r="AK107">
        <f t="shared" si="267"/>
        <v>0.29572023938466119</v>
      </c>
      <c r="AL107">
        <f t="shared" si="168"/>
        <v>40.567501634999999</v>
      </c>
      <c r="AM107">
        <f t="shared" si="169"/>
        <v>7.2895847036714171E-3</v>
      </c>
      <c r="AN107">
        <v>25.69</v>
      </c>
      <c r="AO107">
        <f t="shared" si="170"/>
        <v>25690</v>
      </c>
      <c r="AP107">
        <f t="shared" si="171"/>
        <v>32883.199999999997</v>
      </c>
      <c r="AQ107">
        <f t="shared" si="268"/>
        <v>0.34936598581635631</v>
      </c>
      <c r="AR107">
        <f t="shared" si="172"/>
        <v>51.759606732800002</v>
      </c>
      <c r="AS107">
        <f t="shared" si="173"/>
        <v>6.7497805309823479E-3</v>
      </c>
      <c r="AT107" s="1">
        <v>3881</v>
      </c>
      <c r="AU107" s="1">
        <f t="shared" si="237"/>
        <v>3.9821873813603671E-2</v>
      </c>
      <c r="AV107" s="1">
        <f t="shared" si="238"/>
        <v>0.17876382003319941</v>
      </c>
      <c r="AW107" s="1">
        <v>32702</v>
      </c>
      <c r="AX107" s="1">
        <f t="shared" si="174"/>
        <v>39896.44</v>
      </c>
      <c r="AY107" s="1">
        <f t="shared" si="269"/>
        <v>0.40936640022984028</v>
      </c>
      <c r="AZ107" s="1">
        <f t="shared" si="239"/>
        <v>6.5686127523836679E-2</v>
      </c>
      <c r="BA107" s="1">
        <f t="shared" si="175"/>
        <v>60.4858519474</v>
      </c>
      <c r="BB107" s="1">
        <v>3620</v>
      </c>
      <c r="BC107" s="1">
        <f t="shared" si="176"/>
        <v>4416.3999999999996</v>
      </c>
      <c r="BD107" s="1">
        <f t="shared" si="177"/>
        <v>1.1379541355320792</v>
      </c>
      <c r="BE107" s="1">
        <f t="shared" si="178"/>
        <v>0.11069659348052105</v>
      </c>
      <c r="BF107" s="1">
        <f t="shared" si="179"/>
        <v>6.7679694845967529E-3</v>
      </c>
      <c r="BG107" s="1">
        <v>1580</v>
      </c>
      <c r="BH107" s="1">
        <f t="shared" si="240"/>
        <v>1.7403564426233118E-2</v>
      </c>
      <c r="BI107" s="1">
        <v>50661.071000000004</v>
      </c>
      <c r="BJ107" s="1">
        <f t="shared" si="270"/>
        <v>0.55802735003194326</v>
      </c>
      <c r="BK107" s="1">
        <v>101.2013381</v>
      </c>
      <c r="BL107" s="1">
        <v>3094.44</v>
      </c>
      <c r="BM107">
        <f t="shared" si="271"/>
        <v>1.9585063291139242</v>
      </c>
      <c r="BN107">
        <f t="shared" si="272"/>
        <v>6.1081219542318793E-2</v>
      </c>
      <c r="BO107">
        <f t="shared" si="180"/>
        <v>5.5140313409743668E-3</v>
      </c>
      <c r="BP107">
        <v>37992</v>
      </c>
      <c r="BQ107">
        <f t="shared" si="181"/>
        <v>49769.520000000004</v>
      </c>
      <c r="BR107">
        <f t="shared" si="273"/>
        <v>0.53637942016146511</v>
      </c>
      <c r="BS107">
        <f t="shared" si="182"/>
        <v>59.525235619600004</v>
      </c>
      <c r="BT107">
        <f t="shared" si="183"/>
        <v>9.0109583704839676E-3</v>
      </c>
      <c r="BU107">
        <v>32.56</v>
      </c>
      <c r="BV107">
        <f t="shared" si="184"/>
        <v>32560.000000000004</v>
      </c>
      <c r="BW107">
        <f t="shared" si="185"/>
        <v>41676.800000000003</v>
      </c>
      <c r="BX107">
        <f t="shared" si="274"/>
        <v>0.44279316847725042</v>
      </c>
      <c r="BY107">
        <f t="shared" si="186"/>
        <v>76.247206297600002</v>
      </c>
      <c r="BZ107">
        <f t="shared" si="187"/>
        <v>5.8073362943815562E-3</v>
      </c>
      <c r="CD107" s="1">
        <v>39907</v>
      </c>
      <c r="CE107" s="1">
        <f t="shared" si="188"/>
        <v>48686.54</v>
      </c>
      <c r="CF107">
        <f t="shared" si="275"/>
        <v>0.49955919925301923</v>
      </c>
      <c r="CG107">
        <f t="shared" si="243"/>
        <v>-0.10477649666378741</v>
      </c>
      <c r="CH107">
        <f t="shared" si="189"/>
        <v>90.917938902799989</v>
      </c>
      <c r="CN107" s="1">
        <v>8479</v>
      </c>
      <c r="CO107" s="1">
        <f t="shared" si="244"/>
        <v>9.3395457449386474E-2</v>
      </c>
      <c r="CP107" s="1">
        <v>53768167</v>
      </c>
      <c r="CQ107" s="1">
        <f t="shared" si="287"/>
        <v>592.25174586389971</v>
      </c>
      <c r="CR107" s="1">
        <v>108123.0123</v>
      </c>
      <c r="CS107" s="1">
        <v>11200846</v>
      </c>
      <c r="CT107">
        <f t="shared" si="194"/>
        <v>1321.0102606439439</v>
      </c>
      <c r="CU107">
        <f t="shared" si="195"/>
        <v>0.20831742320693208</v>
      </c>
      <c r="CV107">
        <f t="shared" si="196"/>
        <v>5.4775734902818623E-3</v>
      </c>
      <c r="CW107" s="1">
        <v>5748</v>
      </c>
      <c r="CX107" s="1">
        <f t="shared" si="245"/>
        <v>5.8978647431227493E-2</v>
      </c>
      <c r="CY107" s="1">
        <f t="shared" si="246"/>
        <v>-0.36850625242464691</v>
      </c>
      <c r="CZ107" s="1">
        <v>39414992</v>
      </c>
      <c r="DA107" s="1">
        <f t="shared" si="288"/>
        <v>48086290.240000002</v>
      </c>
      <c r="DB107" s="1">
        <f t="shared" si="277"/>
        <v>493.40020152063948</v>
      </c>
      <c r="DC107" s="1">
        <f t="shared" si="247"/>
        <v>-0.16690798302176124</v>
      </c>
      <c r="DD107" s="1">
        <f t="shared" si="197"/>
        <v>93954.54819500001</v>
      </c>
      <c r="DE107" s="1">
        <v>6634696</v>
      </c>
      <c r="DF107" s="1">
        <f t="shared" si="262"/>
        <v>8094329.1200000001</v>
      </c>
      <c r="DG107">
        <f t="shared" si="263"/>
        <v>1408.1992205984691</v>
      </c>
      <c r="DH107">
        <f t="shared" si="264"/>
        <v>0.16832924893147258</v>
      </c>
      <c r="DI107">
        <f t="shared" si="201"/>
        <v>5.2514775601560162E-3</v>
      </c>
      <c r="DJ107" s="1">
        <v>1040597</v>
      </c>
      <c r="DK107">
        <f t="shared" si="278"/>
        <v>11.462086665344877</v>
      </c>
      <c r="DL107">
        <v>1889.3069949999999</v>
      </c>
      <c r="DM107" s="1">
        <v>74680</v>
      </c>
      <c r="DN107" s="3">
        <f t="shared" si="202"/>
        <v>6.0668206361798168E-3</v>
      </c>
      <c r="DO107" s="1">
        <v>553436</v>
      </c>
      <c r="DP107" s="1">
        <f t="shared" si="289"/>
        <v>675191.92</v>
      </c>
      <c r="DQ107" s="3">
        <f t="shared" si="279"/>
        <v>6.9279586287567083</v>
      </c>
      <c r="DR107" s="3">
        <f t="shared" si="204"/>
        <v>1905.8896083399998</v>
      </c>
      <c r="DS107" s="3">
        <f t="shared" si="205"/>
        <v>53962.947896373866</v>
      </c>
      <c r="DT107" s="3">
        <f t="shared" si="206"/>
        <v>3.6350261832797611E-3</v>
      </c>
      <c r="DU107" s="3">
        <f t="shared" si="207"/>
        <v>0.72258901843028744</v>
      </c>
      <c r="DV107" s="3">
        <f t="shared" si="208"/>
        <v>455.60250642405987</v>
      </c>
      <c r="DW107" s="3">
        <f t="shared" si="209"/>
        <v>0.11059220572878191</v>
      </c>
      <c r="DX107" s="3">
        <f t="shared" si="210"/>
        <v>54894299.071000002</v>
      </c>
      <c r="DY107" s="3">
        <f t="shared" si="248"/>
        <v>604.65599399687176</v>
      </c>
      <c r="DZ107" s="3">
        <f t="shared" si="211"/>
        <v>54808764</v>
      </c>
      <c r="EA107" s="3">
        <f t="shared" si="212"/>
        <v>77208.78</v>
      </c>
      <c r="EB107" s="3">
        <f t="shared" si="249"/>
        <v>0.83209965954612619</v>
      </c>
      <c r="EC107" s="3">
        <f t="shared" si="213"/>
        <v>74560</v>
      </c>
      <c r="ED107" s="3">
        <f t="shared" si="250"/>
        <v>0.79215915429360673</v>
      </c>
      <c r="EE107" s="9">
        <f t="shared" si="214"/>
        <v>48850065.140000001</v>
      </c>
      <c r="EF107" s="13">
        <f t="shared" si="251"/>
        <v>501.237085748879</v>
      </c>
      <c r="EG107" s="14">
        <f t="shared" si="252"/>
        <v>-0.17103759703823893</v>
      </c>
      <c r="EH107" s="9">
        <f t="shared" si="215"/>
        <v>48761482.160000004</v>
      </c>
      <c r="EI107" s="10">
        <v>148740</v>
      </c>
      <c r="EJ107" s="10">
        <f t="shared" si="280"/>
        <v>194849.4</v>
      </c>
      <c r="EK107" s="10">
        <f t="shared" si="253"/>
        <v>2.0999440659827413</v>
      </c>
      <c r="EL107" s="10">
        <v>236000</v>
      </c>
      <c r="EM107" s="10">
        <f t="shared" si="281"/>
        <v>302080</v>
      </c>
      <c r="EN107" s="10">
        <f t="shared" si="254"/>
        <v>3.2094345135328961</v>
      </c>
      <c r="EO107" s="11">
        <v>1230110</v>
      </c>
      <c r="EP107" s="11">
        <f t="shared" si="282"/>
        <v>1500734.2</v>
      </c>
      <c r="EQ107" s="11">
        <f t="shared" si="255"/>
        <v>15.398620958556931</v>
      </c>
      <c r="ER107" s="10">
        <f t="shared" si="256"/>
        <v>20.707999538072571</v>
      </c>
      <c r="ES107" s="10">
        <f t="shared" si="216"/>
        <v>4.9680025158898307</v>
      </c>
      <c r="ET107" s="12">
        <v>91520</v>
      </c>
      <c r="EU107" s="12">
        <f t="shared" si="283"/>
        <v>119891.20000000001</v>
      </c>
      <c r="EV107" s="12">
        <f t="shared" si="257"/>
        <v>1.2920995086643843</v>
      </c>
      <c r="EW107" s="10">
        <v>15000</v>
      </c>
      <c r="EX107" s="10">
        <f t="shared" si="284"/>
        <v>19200</v>
      </c>
      <c r="EY107" s="10">
        <f t="shared" si="258"/>
        <v>0.20398948179234508</v>
      </c>
      <c r="EZ107" s="3">
        <f t="shared" si="217"/>
        <v>74520.037738347455</v>
      </c>
      <c r="FA107" s="3">
        <f t="shared" si="259"/>
        <v>0.76462961592410605</v>
      </c>
      <c r="FB107" s="3">
        <f t="shared" si="260"/>
        <v>2.2607186063808355</v>
      </c>
      <c r="FC107" s="1">
        <f t="shared" si="218"/>
        <v>0.26330000000000003</v>
      </c>
      <c r="FD107">
        <f>2.71/10</f>
        <v>0.27100000000000002</v>
      </c>
      <c r="FE107">
        <f>3.2</f>
        <v>3.2</v>
      </c>
      <c r="FF107" s="7">
        <f t="shared" si="219"/>
        <v>10.522500000000001</v>
      </c>
      <c r="FG107" s="1">
        <f t="shared" si="220"/>
        <v>1.4645000000000001</v>
      </c>
      <c r="FH107">
        <v>2.63E-2</v>
      </c>
      <c r="FI107">
        <v>3.4000000000000002E-2</v>
      </c>
      <c r="FJ107">
        <v>4.41E-2</v>
      </c>
      <c r="FK107">
        <v>4.0899999999999999E-2</v>
      </c>
      <c r="FL107" s="1">
        <f t="shared" si="221"/>
        <v>2.5666666666666672E-3</v>
      </c>
    </row>
    <row r="108" spans="1:168">
      <c r="B108" s="1" t="s">
        <v>282</v>
      </c>
      <c r="C108" s="1">
        <f>AVERAGE(C2:C107)</f>
        <v>467866.44339622639</v>
      </c>
      <c r="D108" s="1">
        <f t="shared" ref="D108:BW108" si="292">AVERAGE(D2:D107)</f>
        <v>477713.82452830189</v>
      </c>
      <c r="E108" s="1">
        <f t="shared" si="292"/>
        <v>484278.75471698114</v>
      </c>
      <c r="F108" s="1">
        <f t="shared" si="292"/>
        <v>501540.06603773584</v>
      </c>
      <c r="G108" s="1">
        <f t="shared" si="292"/>
        <v>3367.3622641509432</v>
      </c>
      <c r="H108" s="1">
        <f t="shared" si="292"/>
        <v>1.3100000000000014</v>
      </c>
      <c r="I108" s="1">
        <f t="shared" si="292"/>
        <v>1.2800000000000009</v>
      </c>
      <c r="J108" s="1">
        <f t="shared" si="292"/>
        <v>1.2199999999999991</v>
      </c>
      <c r="K108" s="1">
        <f t="shared" si="292"/>
        <v>210481.59433962265</v>
      </c>
      <c r="L108" s="1">
        <f t="shared" si="292"/>
        <v>0.43189815936629</v>
      </c>
      <c r="M108" s="1">
        <f t="shared" si="292"/>
        <v>192535.66981132075</v>
      </c>
      <c r="N108" s="1">
        <f t="shared" si="292"/>
        <v>0.37278575287657756</v>
      </c>
      <c r="O108" s="1">
        <f t="shared" si="292"/>
        <v>-0.13750198787585677</v>
      </c>
      <c r="P108" s="1">
        <f t="shared" si="292"/>
        <v>0.17082111154652102</v>
      </c>
      <c r="Q108" s="1">
        <f t="shared" si="292"/>
        <v>0.14899475215523564</v>
      </c>
      <c r="R108" s="1">
        <f t="shared" si="292"/>
        <v>797.1149558355072</v>
      </c>
      <c r="S108" s="1">
        <f t="shared" si="292"/>
        <v>745.01854463434574</v>
      </c>
      <c r="T108" s="1">
        <f t="shared" si="292"/>
        <v>870.72748840079544</v>
      </c>
      <c r="U108" s="1">
        <f t="shared" si="292"/>
        <v>92297.113770000011</v>
      </c>
      <c r="V108" s="1">
        <f t="shared" si="292"/>
        <v>9.4339622642004451E-3</v>
      </c>
      <c r="W108" s="1">
        <f t="shared" si="292"/>
        <v>749.33079487528585</v>
      </c>
      <c r="X108" s="1">
        <f t="shared" si="292"/>
        <v>79429.06426000013</v>
      </c>
      <c r="Y108" s="1">
        <f t="shared" si="292"/>
        <v>9.4339622637685389E-3</v>
      </c>
      <c r="Z108" s="1">
        <f t="shared" si="292"/>
        <v>21656.594339622643</v>
      </c>
      <c r="AA108" s="1">
        <f t="shared" si="292"/>
        <v>4.3765335777900691E-2</v>
      </c>
      <c r="AB108" s="1">
        <f t="shared" si="292"/>
        <v>257108.11320754717</v>
      </c>
      <c r="AC108" s="1">
        <f t="shared" si="292"/>
        <v>0.50113150648042082</v>
      </c>
      <c r="AD108" s="1">
        <f t="shared" si="292"/>
        <v>61.278341250000054</v>
      </c>
      <c r="AE108" s="1">
        <f t="shared" si="292"/>
        <v>31197.82075471698</v>
      </c>
      <c r="AF108" s="1">
        <f t="shared" si="292"/>
        <v>1.3516440535017074</v>
      </c>
      <c r="AG108" s="1">
        <f t="shared" si="292"/>
        <v>0.11741058147086439</v>
      </c>
      <c r="AH108" s="1">
        <f t="shared" si="292"/>
        <v>8.1779548247876421E-3</v>
      </c>
      <c r="AI108" s="1">
        <f t="shared" si="292"/>
        <v>131359.91509433961</v>
      </c>
      <c r="AJ108" s="1">
        <f t="shared" si="292"/>
        <v>172081.48877358492</v>
      </c>
      <c r="AK108" s="1">
        <f t="shared" si="292"/>
        <v>0.32928261607164877</v>
      </c>
      <c r="AL108" s="1">
        <f t="shared" si="292"/>
        <v>40.567501635000049</v>
      </c>
      <c r="AM108" s="1">
        <f t="shared" si="292"/>
        <v>8.1169064596168482E-3</v>
      </c>
      <c r="AN108" s="1">
        <f t="shared" si="292"/>
        <v>171.64735849056606</v>
      </c>
      <c r="AO108" s="1">
        <f t="shared" si="292"/>
        <v>171647.35849056602</v>
      </c>
      <c r="AP108" s="1">
        <f t="shared" si="292"/>
        <v>219708.61886792455</v>
      </c>
      <c r="AQ108" s="1">
        <f t="shared" si="292"/>
        <v>0.42105959962712386</v>
      </c>
      <c r="AR108" s="1">
        <f t="shared" si="292"/>
        <v>51.759606732800087</v>
      </c>
      <c r="AS108" s="1">
        <f t="shared" si="292"/>
        <v>8.1349072414860293E-3</v>
      </c>
      <c r="AT108" s="1">
        <f t="shared" si="292"/>
        <v>24620.688679245282</v>
      </c>
      <c r="AU108" s="1">
        <f t="shared" si="292"/>
        <v>4.7476749416512726E-2</v>
      </c>
      <c r="AV108" s="1">
        <f t="shared" si="292"/>
        <v>9.6066969717076275E-2</v>
      </c>
      <c r="AW108" s="1">
        <f t="shared" si="292"/>
        <v>214142.75471698114</v>
      </c>
      <c r="AX108" s="1">
        <f t="shared" si="292"/>
        <v>261254.16075471707</v>
      </c>
      <c r="AY108" s="1">
        <f t="shared" si="292"/>
        <v>0.49379223626758478</v>
      </c>
      <c r="AZ108" s="1">
        <f t="shared" si="292"/>
        <v>-6.3257593693894889E-3</v>
      </c>
      <c r="BA108" s="1">
        <f t="shared" si="292"/>
        <v>60.485851947400064</v>
      </c>
      <c r="BB108" s="1">
        <f t="shared" si="292"/>
        <v>26729.981132075471</v>
      </c>
      <c r="BC108" s="1">
        <f t="shared" si="292"/>
        <v>32610.576981132068</v>
      </c>
      <c r="BD108" s="1">
        <f t="shared" si="292"/>
        <v>1.2233853757280557</v>
      </c>
      <c r="BE108" s="1">
        <f t="shared" si="292"/>
        <v>0.11710528700136234</v>
      </c>
      <c r="BF108" s="1">
        <f t="shared" si="292"/>
        <v>8.1637642584087081E-3</v>
      </c>
      <c r="BG108" s="1">
        <f t="shared" si="292"/>
        <v>11286.773584905661</v>
      </c>
      <c r="BH108" s="1">
        <f t="shared" si="292"/>
        <v>1.8879699573740662E-2</v>
      </c>
      <c r="BI108" s="1">
        <f t="shared" si="292"/>
        <v>530842.05449999985</v>
      </c>
      <c r="BJ108" s="1">
        <f t="shared" si="292"/>
        <v>0.77366868366474129</v>
      </c>
      <c r="BK108" s="1">
        <f t="shared" si="292"/>
        <v>101.20133809999984</v>
      </c>
      <c r="BL108" s="1">
        <f t="shared" si="292"/>
        <v>23237.528867924539</v>
      </c>
      <c r="BM108" s="1">
        <f t="shared" si="292"/>
        <v>1.7846132053947994</v>
      </c>
      <c r="BN108" s="1">
        <f t="shared" si="292"/>
        <v>5.1916698698018092E-2</v>
      </c>
      <c r="BO108" s="1">
        <f t="shared" si="292"/>
        <v>7.6448463843457916E-3</v>
      </c>
      <c r="BP108" s="1">
        <f t="shared" si="292"/>
        <v>243740.90566037735</v>
      </c>
      <c r="BQ108" s="1">
        <f t="shared" si="292"/>
        <v>319300.58641509432</v>
      </c>
      <c r="BR108" s="1">
        <f t="shared" si="292"/>
        <v>0.45928220796565672</v>
      </c>
      <c r="BS108" s="1">
        <f t="shared" si="292"/>
        <v>59.525235619599933</v>
      </c>
      <c r="BT108" s="1">
        <f t="shared" si="292"/>
        <v>7.7157562365772108E-3</v>
      </c>
      <c r="BU108" s="1">
        <f t="shared" si="292"/>
        <v>323.00679245283015</v>
      </c>
      <c r="BV108" s="1">
        <f t="shared" si="292"/>
        <v>323006.79245283018</v>
      </c>
      <c r="BW108" s="1">
        <f t="shared" si="292"/>
        <v>413448.69433962251</v>
      </c>
      <c r="BX108" s="1">
        <f t="shared" ref="BX108:FA108" si="293">AVERAGE(BX2:BX107)</f>
        <v>0.58829839665081007</v>
      </c>
      <c r="BY108" s="1">
        <f t="shared" si="293"/>
        <v>76.24720629760013</v>
      </c>
      <c r="BZ108" s="1">
        <f t="shared" si="293"/>
        <v>7.7156715008629469E-3</v>
      </c>
      <c r="CA108" s="1">
        <f t="shared" si="293"/>
        <v>10693.571428571429</v>
      </c>
      <c r="CB108" s="1">
        <f t="shared" si="293"/>
        <v>1.7094487635918029E-2</v>
      </c>
      <c r="CC108" s="1">
        <f t="shared" si="293"/>
        <v>-4.4342954344012989E-2</v>
      </c>
      <c r="CD108" s="1">
        <f t="shared" si="293"/>
        <v>419884.47169811319</v>
      </c>
      <c r="CE108" s="1">
        <f t="shared" si="293"/>
        <v>512259.055471698</v>
      </c>
      <c r="CF108" s="1">
        <f t="shared" si="293"/>
        <v>0.68707759689377335</v>
      </c>
      <c r="CG108" s="1">
        <f t="shared" si="293"/>
        <v>-2.9675503148789067E-2</v>
      </c>
      <c r="CH108" s="1">
        <f t="shared" si="293"/>
        <v>90.917938902800088</v>
      </c>
      <c r="CI108" s="1">
        <f t="shared" si="293"/>
        <v>20101.038095238095</v>
      </c>
      <c r="CJ108" s="1">
        <f t="shared" si="293"/>
        <v>24523.266476190474</v>
      </c>
      <c r="CK108" s="1">
        <f t="shared" si="293"/>
        <v>1.9956065316057066</v>
      </c>
      <c r="CL108" s="1">
        <f t="shared" si="293"/>
        <v>5.6352333408595273E-2</v>
      </c>
      <c r="CM108" s="1">
        <f t="shared" si="293"/>
        <v>7.5767609198837526E-3</v>
      </c>
      <c r="CN108" s="1">
        <f t="shared" si="293"/>
        <v>51403.688679245286</v>
      </c>
      <c r="CO108" s="1">
        <f t="shared" si="293"/>
        <v>0.1066849990066913</v>
      </c>
      <c r="CP108" s="1">
        <f t="shared" si="293"/>
        <v>446072725.13207549</v>
      </c>
      <c r="CQ108" s="1">
        <f t="shared" si="293"/>
        <v>869.45268821065019</v>
      </c>
      <c r="CR108" s="1">
        <f t="shared" si="293"/>
        <v>108123.01229999977</v>
      </c>
      <c r="CS108" s="1">
        <f t="shared" si="293"/>
        <v>73963724.886792451</v>
      </c>
      <c r="CT108" s="1">
        <f t="shared" si="293"/>
        <v>1315.7024271902831</v>
      </c>
      <c r="CU108" s="1">
        <f t="shared" si="293"/>
        <v>0.16931676061755299</v>
      </c>
      <c r="CV108" s="1">
        <f t="shared" si="293"/>
        <v>8.0413287580099139E-3</v>
      </c>
      <c r="CW108" s="1">
        <f t="shared" si="293"/>
        <v>44878.066037735851</v>
      </c>
      <c r="CX108" s="1">
        <f t="shared" si="293"/>
        <v>8.4950980683034277E-2</v>
      </c>
      <c r="CY108" s="1">
        <f t="shared" si="293"/>
        <v>-0.21378069326895754</v>
      </c>
      <c r="CZ108" s="1">
        <f t="shared" si="293"/>
        <v>357778863.94117647</v>
      </c>
      <c r="DA108" s="1">
        <f t="shared" si="293"/>
        <v>428096171.43115389</v>
      </c>
      <c r="DB108" s="1">
        <f t="shared" si="293"/>
        <v>748.14992504212421</v>
      </c>
      <c r="DC108" s="1">
        <f t="shared" si="293"/>
        <v>-0.1029228040018652</v>
      </c>
      <c r="DD108" s="1">
        <f t="shared" si="293"/>
        <v>93954.548194999996</v>
      </c>
      <c r="DE108" s="1">
        <f t="shared" si="293"/>
        <v>58670463.970588237</v>
      </c>
      <c r="DF108" s="1">
        <f t="shared" si="293"/>
        <v>69532881.299999997</v>
      </c>
      <c r="DG108" s="1">
        <f t="shared" si="293"/>
        <v>1401.7206115899232</v>
      </c>
      <c r="DH108" s="1">
        <f t="shared" si="293"/>
        <v>0.15900349233692515</v>
      </c>
      <c r="DI108" s="1">
        <f t="shared" si="293"/>
        <v>7.9628920516903613E-3</v>
      </c>
      <c r="DJ108" s="1">
        <f t="shared" si="293"/>
        <v>3955142.5094339624</v>
      </c>
      <c r="DK108" s="1">
        <f t="shared" si="293"/>
        <v>16.791288442580793</v>
      </c>
      <c r="DL108" s="1">
        <f t="shared" si="293"/>
        <v>1889.3069949999988</v>
      </c>
      <c r="DM108" s="1">
        <f t="shared" si="293"/>
        <v>1027112.5</v>
      </c>
      <c r="DN108" s="1">
        <f t="shared" si="293"/>
        <v>8.8875383868362683E-3</v>
      </c>
      <c r="DO108" s="1">
        <f t="shared" si="293"/>
        <v>3290969.3490566039</v>
      </c>
      <c r="DP108" s="1">
        <f t="shared" si="293"/>
        <v>4014982.6058490556</v>
      </c>
      <c r="DQ108" s="1">
        <f t="shared" si="293"/>
        <v>15.99751517364558</v>
      </c>
      <c r="DR108" s="1">
        <f t="shared" si="293"/>
        <v>1905.8896083399975</v>
      </c>
      <c r="DS108" s="1">
        <f t="shared" si="293"/>
        <v>979291.72120988043</v>
      </c>
      <c r="DT108" s="1">
        <f t="shared" si="293"/>
        <v>8.3937260078663072E-3</v>
      </c>
      <c r="DU108" s="1">
        <f t="shared" si="293"/>
        <v>0.91058205194988362</v>
      </c>
      <c r="DV108" s="1">
        <f t="shared" si="293"/>
        <v>451.75594701918374</v>
      </c>
      <c r="DW108" s="1">
        <f t="shared" si="293"/>
        <v>0.11076223266002426</v>
      </c>
      <c r="DX108" s="1">
        <f t="shared" si="293"/>
        <v>450815817.80921686</v>
      </c>
      <c r="DY108" s="1">
        <f t="shared" si="293"/>
        <v>887.51877684337603</v>
      </c>
      <c r="DZ108" s="1">
        <f t="shared" si="293"/>
        <v>450027867.64150941</v>
      </c>
      <c r="EA108" s="1">
        <f t="shared" si="293"/>
        <v>491382.07518867915</v>
      </c>
      <c r="EB108" s="1">
        <f t="shared" si="293"/>
        <v>0.78856482403730543</v>
      </c>
      <c r="EC108" s="1">
        <f t="shared" si="293"/>
        <v>633157.31320754718</v>
      </c>
      <c r="ED108" s="1">
        <f t="shared" si="293"/>
        <v>1.0093579962779342</v>
      </c>
      <c r="EE108" s="1">
        <f t="shared" si="293"/>
        <v>424807380.99981135</v>
      </c>
      <c r="EF108" s="1">
        <f t="shared" si="293"/>
        <v>765.32831004893194</v>
      </c>
      <c r="EG108" s="1">
        <f t="shared" si="293"/>
        <v>-0.1054517969492043</v>
      </c>
      <c r="EH108" s="1">
        <f t="shared" si="293"/>
        <v>424033867.78358471</v>
      </c>
      <c r="EI108" s="1">
        <f t="shared" si="293"/>
        <v>577489.52830188675</v>
      </c>
      <c r="EJ108" s="1">
        <f t="shared" si="293"/>
        <v>756511.28207547194</v>
      </c>
      <c r="EK108" s="1">
        <f t="shared" si="293"/>
        <v>1.8633309166018421</v>
      </c>
      <c r="EL108" s="1">
        <f t="shared" si="293"/>
        <v>1351982.3396226414</v>
      </c>
      <c r="EM108" s="1">
        <f t="shared" si="293"/>
        <v>1730537.3947169811</v>
      </c>
      <c r="EN108" s="1">
        <f t="shared" si="293"/>
        <v>2.6316092787310632</v>
      </c>
      <c r="EO108" s="1">
        <f t="shared" si="293"/>
        <v>4901597.4528301889</v>
      </c>
      <c r="EP108" s="1">
        <f t="shared" si="293"/>
        <v>5979948.8924528304</v>
      </c>
      <c r="EQ108" s="1">
        <f t="shared" si="293"/>
        <v>11.479978536567478</v>
      </c>
      <c r="ER108" s="10">
        <f t="shared" si="256"/>
        <v>15.974918731900383</v>
      </c>
      <c r="ES108" s="1">
        <f t="shared" si="293"/>
        <v>6.3234598164651743</v>
      </c>
      <c r="ET108" s="1">
        <f t="shared" si="293"/>
        <v>435577.73584905663</v>
      </c>
      <c r="EU108" s="1">
        <f t="shared" si="293"/>
        <v>570606.83396226424</v>
      </c>
      <c r="EV108" s="1">
        <f t="shared" si="293"/>
        <v>3.2429030832443373</v>
      </c>
      <c r="EW108" s="1">
        <f t="shared" si="293"/>
        <v>121787.68867924529</v>
      </c>
      <c r="EX108" s="1">
        <f t="shared" si="293"/>
        <v>155888.24150943395</v>
      </c>
      <c r="EY108" s="1">
        <f t="shared" si="293"/>
        <v>0.86344132301809162</v>
      </c>
      <c r="EZ108" s="1">
        <f t="shared" si="293"/>
        <v>875086.55649652332</v>
      </c>
      <c r="FA108" s="1">
        <f t="shared" si="293"/>
        <v>4.8846763347641602</v>
      </c>
      <c r="FB108" s="3">
        <f t="shared" si="260"/>
        <v>8.9910207410265883</v>
      </c>
      <c r="FC108" s="1">
        <f t="shared" ref="FC108:FG108" si="294">AVERAGE(FC2:FC107)</f>
        <v>1.861536348773585</v>
      </c>
      <c r="FD108" s="1">
        <f t="shared" si="294"/>
        <v>1.8692363490566037</v>
      </c>
      <c r="FE108" s="1">
        <f t="shared" si="294"/>
        <v>4.8588178650943412</v>
      </c>
      <c r="FF108" s="1">
        <f t="shared" si="294"/>
        <v>12.332771655188683</v>
      </c>
      <c r="FG108" s="1">
        <f t="shared" si="294"/>
        <v>1.4947907580188677</v>
      </c>
    </row>
    <row r="109" spans="1:168">
      <c r="B109" s="1" t="s">
        <v>283</v>
      </c>
      <c r="C109" s="1">
        <f>_xlfn.STDEV.S(C2,C107)</f>
        <v>240916.23009772506</v>
      </c>
      <c r="D109" s="1">
        <f t="shared" ref="D109:BW109" si="295">_xlfn.STDEV.S(D2,D107)</f>
        <v>245533.0716934482</v>
      </c>
      <c r="E109" s="1">
        <f t="shared" si="295"/>
        <v>248610.96609059707</v>
      </c>
      <c r="F109" s="1">
        <f t="shared" si="295"/>
        <v>256305.70208346908</v>
      </c>
      <c r="G109" s="1">
        <f t="shared" si="295"/>
        <v>1538.9471985744017</v>
      </c>
      <c r="H109" s="1">
        <f t="shared" si="295"/>
        <v>0</v>
      </c>
      <c r="I109" s="1">
        <f t="shared" si="295"/>
        <v>0</v>
      </c>
      <c r="J109" s="1">
        <f t="shared" si="295"/>
        <v>0</v>
      </c>
      <c r="K109" s="1">
        <f t="shared" si="295"/>
        <v>98825.243738631878</v>
      </c>
      <c r="L109" s="1">
        <f t="shared" si="295"/>
        <v>2.4599578677832121E-2</v>
      </c>
      <c r="M109" s="1">
        <f t="shared" si="295"/>
        <v>86653.814714067834</v>
      </c>
      <c r="N109" s="1">
        <f t="shared" si="295"/>
        <v>2.0154212876865394E-2</v>
      </c>
      <c r="O109" s="1">
        <f t="shared" si="295"/>
        <v>3.252701979978899E-4</v>
      </c>
      <c r="P109" s="1">
        <f t="shared" si="295"/>
        <v>3.3979781124474556E-2</v>
      </c>
      <c r="Q109" s="1">
        <f t="shared" si="295"/>
        <v>2.6211432654657637E-2</v>
      </c>
      <c r="R109" s="1">
        <f t="shared" si="295"/>
        <v>105.50534799833751</v>
      </c>
      <c r="S109" s="1">
        <f t="shared" si="295"/>
        <v>42.329983332732702</v>
      </c>
      <c r="T109" s="1">
        <f t="shared" si="295"/>
        <v>23.37502852245191</v>
      </c>
      <c r="U109" s="1">
        <f t="shared" si="295"/>
        <v>0</v>
      </c>
      <c r="V109" s="1">
        <f t="shared" si="295"/>
        <v>2.5325849929285285E-4</v>
      </c>
      <c r="W109" s="1">
        <f t="shared" si="295"/>
        <v>132.46303222408775</v>
      </c>
      <c r="X109" s="1">
        <f t="shared" si="295"/>
        <v>0</v>
      </c>
      <c r="Y109" s="1">
        <f t="shared" si="295"/>
        <v>1.667689698452052E-3</v>
      </c>
      <c r="Z109" s="1">
        <f t="shared" si="295"/>
        <v>8858.633754705068</v>
      </c>
      <c r="AA109" s="1">
        <f t="shared" si="295"/>
        <v>1.6682146641281291E-3</v>
      </c>
      <c r="AB109" s="1">
        <f t="shared" si="295"/>
        <v>85596.690076193947</v>
      </c>
      <c r="AC109" s="1">
        <f t="shared" si="295"/>
        <v>1.610096429551252E-2</v>
      </c>
      <c r="AD109" s="1">
        <f t="shared" si="295"/>
        <v>0</v>
      </c>
      <c r="AE109" s="1">
        <f t="shared" si="295"/>
        <v>10612.965678828892</v>
      </c>
      <c r="AF109" s="1">
        <f t="shared" si="295"/>
        <v>6.3087127429120579E-2</v>
      </c>
      <c r="AG109" s="1">
        <f t="shared" si="295"/>
        <v>4.8633698915948043E-3</v>
      </c>
      <c r="AH109" s="1">
        <f t="shared" si="295"/>
        <v>2.6275130767369672E-4</v>
      </c>
      <c r="AI109" s="1">
        <f t="shared" si="295"/>
        <v>34545.701794868779</v>
      </c>
      <c r="AJ109" s="1">
        <f t="shared" si="295"/>
        <v>45254.869351278081</v>
      </c>
      <c r="AK109" s="1">
        <f t="shared" si="295"/>
        <v>6.2165298188802821E-2</v>
      </c>
      <c r="AL109" s="1">
        <f t="shared" si="295"/>
        <v>0</v>
      </c>
      <c r="AM109" s="1">
        <f t="shared" si="295"/>
        <v>1.5323915864507941E-3</v>
      </c>
      <c r="AN109" s="1">
        <f t="shared" si="295"/>
        <v>43.055731906448877</v>
      </c>
      <c r="AO109" s="1">
        <f t="shared" si="295"/>
        <v>43055.731906448877</v>
      </c>
      <c r="AP109" s="1">
        <f t="shared" si="295"/>
        <v>55111.336840254582</v>
      </c>
      <c r="AQ109" s="1">
        <f t="shared" si="295"/>
        <v>7.1222928761639603E-2</v>
      </c>
      <c r="AR109" s="1">
        <f t="shared" si="295"/>
        <v>0</v>
      </c>
      <c r="AS109" s="1">
        <f t="shared" si="295"/>
        <v>1.3760330353612574E-3</v>
      </c>
      <c r="AT109" s="1">
        <f t="shared" si="295"/>
        <v>8937.8297141979601</v>
      </c>
      <c r="AU109" s="1">
        <f t="shared" si="295"/>
        <v>2.7585580672646734E-3</v>
      </c>
      <c r="AV109" s="1">
        <f t="shared" si="295"/>
        <v>0.13073419342665671</v>
      </c>
      <c r="AW109" s="1">
        <f t="shared" si="295"/>
        <v>64524.200890053646</v>
      </c>
      <c r="AX109" s="1">
        <f t="shared" si="295"/>
        <v>78719.525085865433</v>
      </c>
      <c r="AY109" s="1">
        <f t="shared" si="295"/>
        <v>5.6972620908455354E-2</v>
      </c>
      <c r="AZ109" s="1">
        <f t="shared" si="295"/>
        <v>0.11017715081359068</v>
      </c>
      <c r="BA109" s="1">
        <f t="shared" si="295"/>
        <v>0</v>
      </c>
      <c r="BB109" s="1">
        <f t="shared" si="295"/>
        <v>7089.4525881763257</v>
      </c>
      <c r="BC109" s="1">
        <f t="shared" si="295"/>
        <v>8649.132157575119</v>
      </c>
      <c r="BD109" s="1">
        <f t="shared" si="295"/>
        <v>9.2107507316624634E-2</v>
      </c>
      <c r="BE109" s="1">
        <f t="shared" si="295"/>
        <v>4.2884518652567855E-4</v>
      </c>
      <c r="BF109" s="1">
        <f t="shared" si="295"/>
        <v>9.4191648251893334E-4</v>
      </c>
      <c r="BG109" s="1">
        <f t="shared" si="295"/>
        <v>3637.3572824236003</v>
      </c>
      <c r="BH109" s="1">
        <f t="shared" si="295"/>
        <v>1.2872603945078131E-3</v>
      </c>
      <c r="BI109" s="1">
        <f t="shared" si="295"/>
        <v>147715.06550217071</v>
      </c>
      <c r="BJ109" s="1">
        <f t="shared" si="295"/>
        <v>3.0770418155222381E-2</v>
      </c>
      <c r="BK109" s="1">
        <f t="shared" si="295"/>
        <v>0</v>
      </c>
      <c r="BL109" s="1">
        <f t="shared" si="295"/>
        <v>6296.0292822103365</v>
      </c>
      <c r="BM109" s="1">
        <f t="shared" si="295"/>
        <v>0.12310499355516184</v>
      </c>
      <c r="BN109" s="1">
        <f t="shared" si="295"/>
        <v>1.0504580811977037E-2</v>
      </c>
      <c r="BO109" s="1">
        <f t="shared" si="295"/>
        <v>3.0405149509799207E-4</v>
      </c>
      <c r="BP109" s="1">
        <f t="shared" si="295"/>
        <v>33221.290793706379</v>
      </c>
      <c r="BQ109" s="1">
        <f t="shared" si="295"/>
        <v>43519.890939755343</v>
      </c>
      <c r="BR109" s="1">
        <f t="shared" si="295"/>
        <v>0.20039583215019324</v>
      </c>
      <c r="BS109" s="1">
        <f t="shared" si="295"/>
        <v>0</v>
      </c>
      <c r="BT109" s="1">
        <f t="shared" si="295"/>
        <v>3.3665693224775497E-3</v>
      </c>
      <c r="BU109" s="1">
        <f t="shared" si="295"/>
        <v>64.622488732638601</v>
      </c>
      <c r="BV109" s="1">
        <f t="shared" si="295"/>
        <v>64622.48873263858</v>
      </c>
      <c r="BW109" s="1">
        <f t="shared" si="295"/>
        <v>82716.785577777395</v>
      </c>
      <c r="BX109" s="1">
        <f t="shared" ref="BX109:FC109" si="296">_xlfn.STDEV.S(BX2,BX107)</f>
        <v>6.1399474358791437E-2</v>
      </c>
      <c r="BY109" s="1">
        <f t="shared" si="296"/>
        <v>0</v>
      </c>
      <c r="BZ109" s="1">
        <f t="shared" si="296"/>
        <v>8.0526851199168238E-4</v>
      </c>
      <c r="CA109" s="1">
        <f>_xlfn.STDEV.S(CA2,CA106)</f>
        <v>4109.7046122562142</v>
      </c>
      <c r="CB109" s="1">
        <f t="shared" ref="CB109:CC109" si="297">_xlfn.STDEV.S(CB2,CB106)</f>
        <v>5.2570433747302784E-3</v>
      </c>
      <c r="CC109" s="1">
        <f t="shared" si="297"/>
        <v>0.2630349304567316</v>
      </c>
      <c r="CD109" s="1">
        <f t="shared" si="296"/>
        <v>105800.14502825598</v>
      </c>
      <c r="CE109" s="1">
        <f t="shared" si="296"/>
        <v>129076.17693447231</v>
      </c>
      <c r="CF109" s="1">
        <f t="shared" si="296"/>
        <v>2.2531812181670881E-3</v>
      </c>
      <c r="CG109" s="1">
        <f t="shared" si="296"/>
        <v>4.2047215268665852E-2</v>
      </c>
      <c r="CH109" s="1">
        <f t="shared" si="296"/>
        <v>0</v>
      </c>
      <c r="CI109" s="1">
        <f>_xlfn.STDEV.S(CI2,CI106)</f>
        <v>6451.6422715460594</v>
      </c>
      <c r="CJ109" s="1">
        <f t="shared" ref="CJ109:CM109" si="298">_xlfn.STDEV.S(CJ2,CJ106)</f>
        <v>7871.0035712861909</v>
      </c>
      <c r="CK109" s="1">
        <f t="shared" si="298"/>
        <v>7.0450516248797057E-2</v>
      </c>
      <c r="CL109" s="1">
        <f t="shared" si="298"/>
        <v>7.1492973008345697E-3</v>
      </c>
      <c r="CM109" s="1">
        <f t="shared" si="298"/>
        <v>2.2913758120040452E-3</v>
      </c>
      <c r="CN109" s="1">
        <f t="shared" si="296"/>
        <v>16309.417908067719</v>
      </c>
      <c r="CO109" s="1">
        <f t="shared" si="296"/>
        <v>1.4348004739105762E-2</v>
      </c>
      <c r="CP109" s="1">
        <f t="shared" si="296"/>
        <v>132590566.93343399</v>
      </c>
      <c r="CQ109" s="1">
        <f t="shared" si="296"/>
        <v>23.389697976311613</v>
      </c>
      <c r="CR109" s="1">
        <f t="shared" si="296"/>
        <v>0</v>
      </c>
      <c r="CS109" s="1">
        <f t="shared" si="296"/>
        <v>18896457.869599912</v>
      </c>
      <c r="CT109" s="1">
        <f t="shared" si="296"/>
        <v>83.960516487688054</v>
      </c>
      <c r="CU109" s="1">
        <f t="shared" si="296"/>
        <v>3.615916705877114E-2</v>
      </c>
      <c r="CV109" s="1">
        <f t="shared" si="296"/>
        <v>2.1632488291589729E-4</v>
      </c>
      <c r="CW109" s="1">
        <f t="shared" si="296"/>
        <v>16385.785440435866</v>
      </c>
      <c r="CX109" s="1">
        <f t="shared" si="296"/>
        <v>2.7595977706209884E-3</v>
      </c>
      <c r="CY109" s="1">
        <f t="shared" si="296"/>
        <v>0.16169049837352603</v>
      </c>
      <c r="CZ109" s="1">
        <f t="shared" si="296"/>
        <v>153614897.19802803</v>
      </c>
      <c r="DA109" s="1">
        <f t="shared" si="296"/>
        <v>187410174.5815942</v>
      </c>
      <c r="DB109" s="1">
        <f t="shared" si="296"/>
        <v>132.51775166377888</v>
      </c>
      <c r="DC109" s="1">
        <f t="shared" si="296"/>
        <v>0.27183595633689667</v>
      </c>
      <c r="DD109" s="1">
        <f t="shared" si="296"/>
        <v>0</v>
      </c>
      <c r="DE109" s="1">
        <f t="shared" si="296"/>
        <v>18777442.605938062</v>
      </c>
      <c r="DF109" s="1">
        <f t="shared" si="296"/>
        <v>22908479.979244437</v>
      </c>
      <c r="DG109" s="1">
        <f t="shared" si="296"/>
        <v>5.7387471688772047</v>
      </c>
      <c r="DH109" s="1">
        <f t="shared" si="296"/>
        <v>2.758691652633408E-2</v>
      </c>
      <c r="DI109" s="1">
        <f t="shared" si="296"/>
        <v>1.4104453079668005E-3</v>
      </c>
      <c r="DJ109" s="1">
        <f t="shared" si="296"/>
        <v>614860.45894007524</v>
      </c>
      <c r="DK109" s="1">
        <f t="shared" si="296"/>
        <v>4.974686146769975</v>
      </c>
      <c r="DL109" s="1">
        <f t="shared" si="296"/>
        <v>0</v>
      </c>
      <c r="DM109" s="1">
        <f t="shared" si="296"/>
        <v>235157.5524717418</v>
      </c>
      <c r="DN109" s="1">
        <f t="shared" si="296"/>
        <v>2.6330745399955379E-3</v>
      </c>
      <c r="DO109" s="1">
        <f t="shared" si="296"/>
        <v>358300.19841537904</v>
      </c>
      <c r="DP109" s="1">
        <f t="shared" si="296"/>
        <v>437126.242066762</v>
      </c>
      <c r="DQ109" s="1">
        <f t="shared" si="296"/>
        <v>2.9103321337637325</v>
      </c>
      <c r="DR109" s="1">
        <f t="shared" si="296"/>
        <v>0</v>
      </c>
      <c r="DS109" s="1">
        <f t="shared" si="296"/>
        <v>269269.69494627055</v>
      </c>
      <c r="DT109" s="1">
        <f t="shared" si="296"/>
        <v>1.5270203064376776E-3</v>
      </c>
      <c r="DU109" s="1">
        <f t="shared" si="296"/>
        <v>0.24395122796277849</v>
      </c>
      <c r="DV109" s="1">
        <f t="shared" si="296"/>
        <v>14.769306812711143</v>
      </c>
      <c r="DW109" s="1">
        <f t="shared" si="296"/>
        <v>5.3278219014562212E-3</v>
      </c>
      <c r="DX109" s="1">
        <f t="shared" si="296"/>
        <v>133438739.14795241</v>
      </c>
      <c r="DY109" s="1">
        <f t="shared" si="296"/>
        <v>28.349714669221889</v>
      </c>
      <c r="DZ109" s="1">
        <f t="shared" si="296"/>
        <v>133205427.39237407</v>
      </c>
      <c r="EA109" s="1">
        <f t="shared" si="296"/>
        <v>88774.760291033424</v>
      </c>
      <c r="EB109" s="1">
        <f t="shared" si="296"/>
        <v>0.26256113033899597</v>
      </c>
      <c r="EC109" s="1">
        <f t="shared" si="296"/>
        <v>137828.12241803197</v>
      </c>
      <c r="ED109" s="1">
        <f t="shared" si="296"/>
        <v>0.13262240312043039</v>
      </c>
      <c r="EE109" s="1">
        <f t="shared" si="296"/>
        <v>188055096.52568132</v>
      </c>
      <c r="EF109" s="1">
        <f t="shared" si="296"/>
        <v>129.55270009032489</v>
      </c>
      <c r="EG109" s="1">
        <f t="shared" si="296"/>
        <v>0.27110070546982024</v>
      </c>
      <c r="EH109" s="1">
        <f t="shared" si="296"/>
        <v>187847300.82366091</v>
      </c>
      <c r="EI109" s="1">
        <f t="shared" si="296"/>
        <v>349576.62205588061</v>
      </c>
      <c r="EJ109" s="1">
        <f t="shared" si="296"/>
        <v>457945.37489320367</v>
      </c>
      <c r="EK109" s="1">
        <f t="shared" si="296"/>
        <v>0.13103905447898873</v>
      </c>
      <c r="EL109" s="1">
        <f t="shared" si="296"/>
        <v>1057124.6378738885</v>
      </c>
      <c r="EM109" s="1">
        <f t="shared" si="296"/>
        <v>1353119.5364785774</v>
      </c>
      <c r="EN109" s="1">
        <f t="shared" si="296"/>
        <v>1.2456912632154622</v>
      </c>
      <c r="EO109" s="1">
        <f t="shared" si="296"/>
        <v>2266084.9006584021</v>
      </c>
      <c r="EP109" s="1">
        <f t="shared" si="296"/>
        <v>2764623.578803251</v>
      </c>
      <c r="EQ109" s="1">
        <f t="shared" si="296"/>
        <v>2.5702406390035497</v>
      </c>
      <c r="ER109" s="10">
        <f t="shared" si="256"/>
        <v>3.9469709566980007</v>
      </c>
      <c r="ES109" s="1">
        <f t="shared" si="296"/>
        <v>1.7862135699749069</v>
      </c>
      <c r="ET109" s="1">
        <f t="shared" si="296"/>
        <v>64581.476539329757</v>
      </c>
      <c r="EU109" s="1">
        <f t="shared" si="296"/>
        <v>84601.734266521933</v>
      </c>
      <c r="EV109" s="1">
        <f t="shared" si="296"/>
        <v>0.52872428357773937</v>
      </c>
      <c r="EW109" s="1">
        <f t="shared" si="296"/>
        <v>5656.8542494923804</v>
      </c>
      <c r="EX109" s="1">
        <f t="shared" si="296"/>
        <v>7240.7734393502469</v>
      </c>
      <c r="EY109" s="1">
        <f t="shared" si="296"/>
        <v>9.7536744511561607E-2</v>
      </c>
      <c r="EZ109" s="1">
        <f t="shared" si="296"/>
        <v>12979.645965922644</v>
      </c>
      <c r="FA109" s="1">
        <f t="shared" si="296"/>
        <v>0.45432691172387968</v>
      </c>
      <c r="FB109" s="3">
        <f t="shared" si="260"/>
        <v>1.0805879398131806</v>
      </c>
      <c r="FC109" s="1">
        <f t="shared" si="296"/>
        <v>1.1306637431172892</v>
      </c>
      <c r="FD109" s="1">
        <f t="shared" ref="FD109:FG109" si="299">_xlfn.STDEV.S(FD2,FD107)</f>
        <v>1.1306637431172892</v>
      </c>
      <c r="FE109" s="1">
        <f t="shared" si="299"/>
        <v>0.56568542494923979</v>
      </c>
      <c r="FF109" s="1">
        <f t="shared" si="299"/>
        <v>4.8065583451155565</v>
      </c>
      <c r="FG109" s="1">
        <f t="shared" si="299"/>
        <v>0.84817458403326385</v>
      </c>
    </row>
  </sheetData>
  <sortState xmlns:xlrd2="http://schemas.microsoft.com/office/spreadsheetml/2017/richdata2" ref="A2:AC126">
    <sortCondition ref="A2"/>
  </sortState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isaac.mehlhaff@gmail.com</cp:lastModifiedBy>
  <dcterms:created xsi:type="dcterms:W3CDTF">2016-06-16T22:21:48Z</dcterms:created>
  <dcterms:modified xsi:type="dcterms:W3CDTF">2020-08-13T23:35:14Z</dcterms:modified>
</cp:coreProperties>
</file>